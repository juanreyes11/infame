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juanc\Desktop\0. JER\11. Blogging\1. MVP\0. Focus Group\Publicación BLOG Infame\"/>
    </mc:Choice>
  </mc:AlternateContent>
  <xr:revisionPtr revIDLastSave="0" documentId="13_ncr:1_{7920F364-7859-435D-8DE1-99ACC0B76667}" xr6:coauthVersionLast="47" xr6:coauthVersionMax="47" xr10:uidLastSave="{00000000-0000-0000-0000-000000000000}"/>
  <bookViews>
    <workbookView xWindow="-98" yWindow="-98" windowWidth="19396" windowHeight="11475" activeTab="2" xr2:uid="{00000000-000D-0000-FFFF-FFFF00000000}"/>
  </bookViews>
  <sheets>
    <sheet name="0. Introducción" sheetId="4" r:id="rId1"/>
    <sheet name="1. Test" sheetId="1" r:id="rId2"/>
    <sheet name="2. Resultados" sheetId="3" r:id="rId3"/>
    <sheet name="Referencias" sheetId="5" state="hidden"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1" l="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B32" i="1" s="1"/>
  <c r="B33" i="1" s="1"/>
  <c r="B34" i="1" s="1"/>
  <c r="B35" i="1" s="1"/>
  <c r="B36" i="1" s="1"/>
  <c r="B37" i="1" s="1"/>
  <c r="B7" i="1"/>
  <c r="C20" i="3"/>
  <c r="D20" i="3" s="1"/>
  <c r="C19" i="3"/>
  <c r="D19" i="3" s="1"/>
  <c r="C18" i="3"/>
  <c r="D18" i="3" s="1"/>
  <c r="C17" i="3"/>
  <c r="D17" i="3" s="1"/>
</calcChain>
</file>

<file path=xl/sharedStrings.xml><?xml version="1.0" encoding="utf-8"?>
<sst xmlns="http://schemas.openxmlformats.org/spreadsheetml/2006/main" count="187" uniqueCount="123">
  <si>
    <t xml:space="preserve">Bloque 1: Evitación del Dinero </t>
  </si>
  <si>
    <t xml:space="preserve">Bloque 2: Adoración del Dinero </t>
  </si>
  <si>
    <t xml:space="preserve">Bloque 3: Estatus del Dinero </t>
  </si>
  <si>
    <t xml:space="preserve">Bloque 4: Vigilancia del Dinero </t>
  </si>
  <si>
    <t>No merezco mucho dinero cuando otros tienen menos que yo.</t>
  </si>
  <si>
    <t>La gente rica es codiciosa.</t>
  </si>
  <si>
    <t>La gente se hace rica aprovechándose de los demás</t>
  </si>
  <si>
    <t>No merezco el dinero.</t>
  </si>
  <si>
    <t>La gente buena no debería preocuparse por el dinero.</t>
  </si>
  <si>
    <t>Es difícil ser rico y ser una buena persona al mismo tiempo.</t>
  </si>
  <si>
    <t>Cuanto menos dinero tienes, mejor es la vida.</t>
  </si>
  <si>
    <t>El dinero corrompe a la gente.</t>
  </si>
  <si>
    <t>Ser rico significa que ya no encajas con tus viejos amigos y familiares.</t>
  </si>
  <si>
    <t>Las cosas mejorarían si tuviera más dinero.</t>
  </si>
  <si>
    <t>Más dinero te hará más feliz.</t>
  </si>
  <si>
    <t>Es difícil ser pobre y feliz</t>
  </si>
  <si>
    <t>Nunca se puede tener suficiente dinero</t>
  </si>
  <si>
    <t>El dinero es poder.</t>
  </si>
  <si>
    <t>El dinero resolvería todos mis problemas.</t>
  </si>
  <si>
    <t>El dinero compra la libertad.</t>
  </si>
  <si>
    <t>La mayoría de la gente pobre no merece tener dinero</t>
  </si>
  <si>
    <t>Puedes tener amor o dinero, pero no ambos.</t>
  </si>
  <si>
    <t>No compraré algo a menos que sea nuevo (ej. coche, casa)</t>
  </si>
  <si>
    <t>Los pobres son perezosos.</t>
  </si>
  <si>
    <t>El dinero es lo que da sentido a la vida.</t>
  </si>
  <si>
    <t>Tu valor personal es igual a tu patrimonio neto.</t>
  </si>
  <si>
    <t>Si algo no se considera "lo mejor", no vale la pena comprarlo.</t>
  </si>
  <si>
    <t>Las personas son tan exitosas como la cantidad de dinero que ganan.</t>
  </si>
  <si>
    <t>No debes decir a los demás cuánto dinero tienes o ganas.</t>
  </si>
  <si>
    <t>Está mal preguntar a otros cuánto dinero tienen o ganan.</t>
  </si>
  <si>
    <t>El dinero debe ahorrarse, no gastarse.</t>
  </si>
  <si>
    <t>Es importante ahorrar para un día difícil.</t>
  </si>
  <si>
    <t>La gente debería trabajar por su dinero y no recibir limosnas financieras.</t>
  </si>
  <si>
    <t>Sería un manojo de nervios si no tuviera dinero ahorrado para una emergencia.</t>
  </si>
  <si>
    <t>Siempre debes buscar la mejor oferta antes de comprar algo, incluso si toma más tiempo.</t>
  </si>
  <si>
    <t>Es extravagante gastar dinero en uno mismo.</t>
  </si>
  <si>
    <t>AFIRMACIÓN</t>
  </si>
  <si>
    <t>CALIFICACIÓN</t>
  </si>
  <si>
    <t>1 - Muy en Desacuerdo</t>
  </si>
  <si>
    <t>2 - En Desacuerdo</t>
  </si>
  <si>
    <t>4 - Algo de Acuerdo</t>
  </si>
  <si>
    <t>3 - Algo en Desacuerdo</t>
  </si>
  <si>
    <t>5 - De Acuerdo</t>
  </si>
  <si>
    <t>6 -  Muy de Acuerdo</t>
  </si>
  <si>
    <t>Pendiente</t>
  </si>
  <si>
    <t>Instrucciones</t>
  </si>
  <si>
    <t>Explicación</t>
  </si>
  <si>
    <t>Introducción</t>
  </si>
  <si>
    <t>Evitación</t>
  </si>
  <si>
    <t>Adoración</t>
  </si>
  <si>
    <t>Status</t>
  </si>
  <si>
    <t>Vigilancia</t>
  </si>
  <si>
    <t>Creencia</t>
  </si>
  <si>
    <t>Resultado</t>
  </si>
  <si>
    <t xml:space="preserve"># </t>
  </si>
  <si>
    <t>COMO INTERPRETAR LOS RESULTADOS</t>
  </si>
  <si>
    <t>Resultado Final</t>
  </si>
  <si>
    <t>¿ El solo pensar en el futuro me genera ansiedad ó falta de animo?</t>
  </si>
  <si>
    <t>¿ Regalo dinero con facilidad por que no me interesa?</t>
  </si>
  <si>
    <t>¿ Evito invertir por que de eso "no dan tanto", es mejor ir a la segura?</t>
  </si>
  <si>
    <t>¿ Me pasa mucho que cuando no me siento bien, estoy ansioso/ansiosa/triste, lo asocio a mi situación economica actual… es decir, pienso que si tuviera más dinero, no me sentiria de esa forma?</t>
  </si>
  <si>
    <t>¿ Me pasa mucho que termino utilizando la tarjeta de crédito más de lo necesario?</t>
  </si>
  <si>
    <t>¿ Me pasa con cierta frecuencia de que cada vez que veo a alguien (figura pública, empresario) con dinero, pienso que su vida está mejor que la mia?</t>
  </si>
  <si>
    <t>¿ Deseo a veces (y sueño) con cierta recurrencia de disfrutar en lugares lujosos con mis seres queridos?</t>
  </si>
  <si>
    <t>¿ Me sucede que cuando analizo una inversión, pienso rapidamente que voy a hacer con las utilidades que me deje? ¿ que gusto me voy a dar?</t>
  </si>
  <si>
    <t xml:space="preserve">¿ Me llega a veces el siguiente pensamiento: trabajo, trabajo, y trabajo y nada que veo la plata? </t>
  </si>
  <si>
    <t>¿ Me la paso pensando en ideas de negocio pensando más en la plata que en la idea misma y en su impacto en la sociedad?</t>
  </si>
  <si>
    <t>¿ Si alguien me dice hoy en día que me quiere regalar una cantidad de dinero de tal suerte de que no me tocara trabajar… tengo claro que haría y por que?</t>
  </si>
  <si>
    <t>¿ Me ha costado decir que NO a ciertos gastos (viajes, matrimonios, etc)… por un miedo que asocien mi respuesta negativa a mi situación economica?</t>
  </si>
  <si>
    <t>¿ He invertido en productos de seguros y ahorro por que uno nunca sabe lo que pueda pasar? ¿ Siempre que analizo un tema financiero, me preparo para lo peor?</t>
  </si>
  <si>
    <t>¿Me cuesta gastar dinero en mi, a pesar de que sé que esos gastos son por mi bienestar?</t>
  </si>
  <si>
    <t>¿Evito planear financieramente mi vida? --- el solo pensar en el futuro me da pereza?</t>
  </si>
  <si>
    <t>¿ Me molesta cuando mi pareja me pregunta por dinero?</t>
  </si>
  <si>
    <r>
      <t xml:space="preserve">1. Leer detenidamente cada una de las afirmaciónes y responder seleccionando de la lista (opción de la 1 a la 6) de acuerdo a la </t>
    </r>
    <r>
      <rPr>
        <b/>
        <sz val="11"/>
        <color theme="1"/>
        <rFont val="Garamond"/>
        <family val="1"/>
      </rPr>
      <t>EXPLICACIÓN =&gt;</t>
    </r>
  </si>
  <si>
    <t>No merezco el dinero</t>
  </si>
  <si>
    <t>La gente rica es codiciosa</t>
  </si>
  <si>
    <t>No merezco mucho dinero cuando otros tienen menos que yo</t>
  </si>
  <si>
    <t>La gente buena no debería preocuparse por el dinero</t>
  </si>
  <si>
    <t>Es difícil ser rico y ser una buena persona al mismo tiempo</t>
  </si>
  <si>
    <t>Cuanto menos dinero tienes, mejor es la vida</t>
  </si>
  <si>
    <t>El dinero corrompe a la gente</t>
  </si>
  <si>
    <t>Ser rico significa que ya no encajas con tus viejos amigos y familiares</t>
  </si>
  <si>
    <t>Las cosas mejorarían si tuviera más dinero</t>
  </si>
  <si>
    <t>Más dinero te hará más feliz</t>
  </si>
  <si>
    <t>El dinero es poder</t>
  </si>
  <si>
    <t>El dinero resolvería todos mis problemas</t>
  </si>
  <si>
    <t>El dinero compra la libertad</t>
  </si>
  <si>
    <t>Los pobres son perezosos</t>
  </si>
  <si>
    <t>El dinero es lo que da sentido a la vida</t>
  </si>
  <si>
    <t>Si algo no se considera "lo mejor", no vale la pena comprarlo</t>
  </si>
  <si>
    <t>Las personas son tan exitosas como la cantidad de dinero que ganan</t>
  </si>
  <si>
    <t>No debes decir a los demás cuánto dinero tienes o ganas</t>
  </si>
  <si>
    <t>Está mal preguntar a otros cuánto dinero tienen o ganan</t>
  </si>
  <si>
    <t>El dinero debe ahorrarse, no gastarse</t>
  </si>
  <si>
    <t>Es importante ahorrar para un día difícil</t>
  </si>
  <si>
    <t>Siempre debes buscar la mejor oferta antes de comprar algo, incluso si toma más tiempo</t>
  </si>
  <si>
    <t>Es extravagante gastar dinero en uno mismo</t>
  </si>
  <si>
    <t>Puedes tener amor o dinero, pero no ambos</t>
  </si>
  <si>
    <t>No compraré algo a menos que sea nuevo (ej. coche, casa, nevera.)</t>
  </si>
  <si>
    <t>Tu valor personal es igual a tu patrimonio</t>
  </si>
  <si>
    <t>La gente debería trabajar por su dinero y no recibir limosnas o ayudas financieras</t>
  </si>
  <si>
    <t>Estaría muy nervioso si no tuviera dinero ahorrado para una emergencia</t>
  </si>
  <si>
    <t>Este cuestionario es un instrumento de exploración reflexiva basado conceptualmente en el marco teórico de los guiones del dinero propuesto por Klontz et al. (2011).</t>
  </si>
  <si>
    <t>Fuente Script Original: The  Journal  of  Financial  Therapy Volume  2,  Issue  1  (2011)  ISSN:  1945-­‐7774   DOI:  10.4148/jft.v2i1.451</t>
  </si>
  <si>
    <t>Intepretaciones</t>
  </si>
  <si>
    <r>
      <t xml:space="preserve">1) En el recuadro de abajo podrán observar las 4 creencias que el test busca medir con su respectivo resultado (en números) que a su vez permite conocer si tienen o no la creencia activa. Cada creencia puede tener 4 posibles escenarios: 
Escenario 1: </t>
    </r>
    <r>
      <rPr>
        <sz val="12"/>
        <color theme="1"/>
        <rFont val="Garamond"/>
        <family val="1"/>
      </rPr>
      <t xml:space="preserve">No hay una creencía activa. </t>
    </r>
    <r>
      <rPr>
        <b/>
        <sz val="12"/>
        <color theme="1"/>
        <rFont val="Garamond"/>
        <family val="1"/>
      </rPr>
      <t xml:space="preserve">
Escenario 2: </t>
    </r>
    <r>
      <rPr>
        <sz val="12"/>
        <color theme="1"/>
        <rFont val="Garamond"/>
        <family val="1"/>
      </rPr>
      <t>Exhibes uno o más sintomas de la creencia</t>
    </r>
    <r>
      <rPr>
        <b/>
        <sz val="12"/>
        <color theme="1"/>
        <rFont val="Garamond"/>
        <family val="1"/>
      </rPr>
      <t xml:space="preserve">  
Escenario 3: </t>
    </r>
    <r>
      <rPr>
        <sz val="12"/>
        <color theme="1"/>
        <rFont val="Garamond"/>
        <family val="1"/>
      </rPr>
      <t xml:space="preserve">Estas en riesgo de desarrollar la creencia. </t>
    </r>
    <r>
      <rPr>
        <b/>
        <sz val="12"/>
        <color theme="1"/>
        <rFont val="Garamond"/>
        <family val="1"/>
      </rPr>
      <t xml:space="preserve">
Escenario 4: </t>
    </r>
    <r>
      <rPr>
        <sz val="12"/>
        <color theme="1"/>
        <rFont val="Garamond"/>
        <family val="1"/>
      </rPr>
      <t xml:space="preserve">Tus respuestas indican que tienes la creencia Activa. </t>
    </r>
    <r>
      <rPr>
        <b/>
        <sz val="12"/>
        <color theme="1"/>
        <rFont val="Garamond"/>
        <family val="1"/>
      </rPr>
      <t xml:space="preserve">
2) En la Sección de Definiciones, se encuentran las </t>
    </r>
    <r>
      <rPr>
        <b/>
        <u/>
        <sz val="12"/>
        <color theme="1"/>
        <rFont val="Garamond"/>
        <family val="1"/>
      </rPr>
      <t>definiciones originale</t>
    </r>
    <r>
      <rPr>
        <b/>
        <sz val="12"/>
        <color theme="1"/>
        <rFont val="Garamond"/>
        <family val="1"/>
      </rPr>
      <t xml:space="preserve">s del estudio públicadas en el Journal. Quiero que las lean y las tengan presente durante sus reflexiones que es la parte final. 
3) Reflexiones: </t>
    </r>
    <r>
      <rPr>
        <sz val="12"/>
        <color theme="1"/>
        <rFont val="Garamond"/>
        <family val="1"/>
      </rPr>
      <t>Por favor reflexiona como los resultados que te salieron, las definiciones, y las preguntas que te hago al final de esta petaña. Quiero que reflexiones alrededor de los productos de crédito, ahorro, inversión y seguros.</t>
    </r>
  </si>
  <si>
    <t>1. Evitación del dinero:</t>
  </si>
  <si>
    <t>2. Adoración del dinero:</t>
  </si>
  <si>
    <t>3. Status del dinero:</t>
  </si>
  <si>
    <t>4.Vigilancia del dinero:</t>
  </si>
  <si>
    <t xml:space="preserve">Quienes evitan el dinero creen que hay algo malo con el dinero o que no lo merecen. Para ellos, el dinero suele ser visto como algo que despierta miedo, genera ansiedad o disgusto. Las personas que tienen esta creencia se preocupan por abusar de las tarjetas de crédito o por sobregirar sus saldos en el banco. Pueden tambien autosabotear su éxito financiero, evitar gastar dinero incluso en compras razonables o necesarias. Tambien pueden gastar o regalar dinero de manera inconsciente en un esfuerzo por tener la menor cantidad posible bajo su control. Es posible que las personas con esta creencia tengan comportamientos financieros desordenados como: 1. hacer una negación financiera, 2. rechazar el dinero, 3. gastar menos de lo necesario (infra-gasto), 4. aversión excesiva a tomar riesgos. </t>
  </si>
  <si>
    <t xml:space="preserve">Las personas que presentan esta creencia activa creen que un aumento en sus ingresos y/o ganancia financiera inesperada resolvería sus problemas. Son personas que pueden llegar a pensar que si se ganan la lotería, todos sus problemas terminarian. En la literatura cientifica, no existe una correlación significativa entre la felicidad y el dinero una vez se supera un umbrar de 75,000 dolares al año (Kahneman &amp; Deaton, 2010). Además, se ha descubierto que los aumentos en los ingresos están asociados con incrementos en la desconfianza y la depresión (Diener &amp; Seligman, 2004). En algunos casos, se ha demostrado que ganar la lotería resulta en una depresión severa (Nissle &amp; Bschor, 2002). A pesar de la falta de evidencia, la gente sigue aferrada a la "ilusión de que el dinero me compra la felicidad". Es posible que las personas con esta creencia tengan trastornos financieros como: la acumulación excesiva, la toma de riesgos irracionales, el juego patologico, adicción al trabajo, gasto excesivo y trastorno de compras compulsivas. </t>
  </si>
  <si>
    <t xml:space="preserve">Las personas que tienen esta creencia asocian la autoestima y el patrimonio neto. Estas creencias ó guiones personales, pueden encerrar a los individuos en una postura competitiva de adquirir más que las personas que lo rodean. Las personas que ven el dinero status, ven una distinción clara entre las clases socioecónomicas. La investigación ha demostrado que estar excesivamente preocupado por el éxito financiero y ser materialista se ha asociado con niveles más bajos de bienestar. Adicionalmente, se pueden presentar niveles bajos de autorrealización, vitalidad/felicidad, y niveles altos de ansiedad, sintomas fisicos e infelicidad. 
La clase socioeconomica se establece en la infancia y se desarrolla a través de relaciones sociales. Estas relaciones de clase a veces tienen supuestos erroneos en cuanto a la cultura, el ocio y el gasto. Es posible que con el objetivo de elevar el status socioeconomico, una persona desarrolle comportamientos financieros desordenados tales como gasto excesivo o toma de riesgos irracionales. </t>
  </si>
  <si>
    <r>
      <rPr>
        <sz val="12"/>
        <rFont val="Garamond"/>
        <family val="1"/>
      </rPr>
      <t>Para muchas personas, el dinero es una fuente profunda de vergüenza y secretismo, independientemente de si se tiene mucho o poco (Klontz &amp; Klontz, 2009). En una encuesta realizada a 1,001 adultos, más de la mitad consideró que el dinero es un tema sensible en sus hogares (Medintz, 2004). El cuarenta por ciento de los encuestados informó haber mentido a sus cónyuges sobre el costo de una compra, y otro 40% expresó que le parecía bien que los cónyuges no compartieran información financiera entre sí.
La vigilancia del dinero identificada en este estudio parece estar vinculada a la alerta, la vigilancia y la preocupación por el dinero, así como a la sensación de que uno debe estar atento ante problemas o peligros inminentes.</t>
    </r>
    <r>
      <rPr>
        <u/>
        <sz val="12"/>
        <rFont val="Garamond"/>
        <family val="1"/>
      </rPr>
      <t xml:space="preserve"> Si bien este enfoque hacia el dinero puede fomentar el ahorro y la frugalidad, la cautela o la ansiedad excesivas ante un peligro financiero inminente impiden que alguien disfrute de los beneficios y la sensación de seguridad que el dinero puede brindar.</t>
    </r>
  </si>
  <si>
    <t>Preguntas para Reflexionar</t>
  </si>
  <si>
    <t>1. Evitación</t>
  </si>
  <si>
    <t>2. Adoración</t>
  </si>
  <si>
    <t>3. Status</t>
  </si>
  <si>
    <t>4.Vigilancia</t>
  </si>
  <si>
    <t>¿ Me pasa con frecuencia que cuando visito un lugar, pienso rapidamente en compartir ese sitio en redes sociales? Especialmente si es un sitio de lujo?</t>
  </si>
  <si>
    <t xml:space="preserve">¿ Ninguna inversión me parece adecuada, normalmente le veo mucho riesgo a todo? Prefiero ir a la segura para no explorar otras opciones. </t>
  </si>
  <si>
    <t>¿ Me pasa con frecuencia que al observar a amigos/amigos con una posición economica holgada, me cuestione/compare?</t>
  </si>
  <si>
    <r>
      <t xml:space="preserve">1. </t>
    </r>
    <r>
      <rPr>
        <b/>
        <sz val="15"/>
        <color theme="1"/>
        <rFont val="Garamond"/>
        <family val="1"/>
      </rPr>
      <t xml:space="preserve">El presente test tiene como objetivo identificar los </t>
    </r>
    <r>
      <rPr>
        <b/>
        <u/>
        <sz val="15"/>
        <color theme="1"/>
        <rFont val="Garamond"/>
        <family val="1"/>
      </rPr>
      <t>guiones (o creencias) que hemos construido consciente o inconscientemente acerca del dinero.</t>
    </r>
    <r>
      <rPr>
        <sz val="15"/>
        <color theme="1"/>
        <rFont val="Garamond"/>
        <family val="1"/>
      </rPr>
      <t xml:space="preserve"> Los guiones se definen como </t>
    </r>
    <r>
      <rPr>
        <b/>
        <sz val="15"/>
        <color theme="1"/>
        <rFont val="Garamond"/>
        <family val="1"/>
      </rPr>
      <t>creencías inconscientes formadas en la infancia</t>
    </r>
    <r>
      <rPr>
        <sz val="15"/>
        <color theme="1"/>
        <rFont val="Garamond"/>
        <family val="1"/>
      </rPr>
      <t xml:space="preserve"> </t>
    </r>
    <r>
      <rPr>
        <b/>
        <u/>
        <sz val="15"/>
        <color theme="1"/>
        <rFont val="Garamond"/>
        <family val="1"/>
      </rPr>
      <t>que determinan el comportamiento financiero de un adulto</t>
    </r>
    <r>
      <rPr>
        <sz val="15"/>
        <color theme="1"/>
        <rFont val="Garamond"/>
        <family val="1"/>
      </rPr>
      <t xml:space="preserve">. La investigación categoriza estas creencias en 4 patrones distintos: </t>
    </r>
    <r>
      <rPr>
        <b/>
        <sz val="15"/>
        <color theme="1"/>
        <rFont val="Garamond"/>
        <family val="1"/>
      </rPr>
      <t xml:space="preserve">evitación, adoración, status y vigilancia del dinero. </t>
    </r>
    <r>
      <rPr>
        <sz val="15"/>
        <color theme="1"/>
        <rFont val="Garamond"/>
        <family val="1"/>
      </rPr>
      <t xml:space="preserve">Los 3 primeros patrones suelen asociarse con resultados económicos negativos mientras que el 4, la vigilancia del dinero, tiende a fomentar el ahorro, aunque puede generar una ansiedad excesiva. 
</t>
    </r>
    <r>
      <rPr>
        <b/>
        <sz val="15"/>
        <color theme="1"/>
        <rFont val="Garamond"/>
        <family val="1"/>
      </rPr>
      <t xml:space="preserve">2. El test consta de 32 afirmaciones las cuales ustedes deben responder en la pestaña 1 "Test_KMSI". Por favor seguir a la pestaña. Lo importante es que lean con calma las 32 afirmaciones. La explicación de los 4 patrones lo veran en la pestaña de resultados. </t>
    </r>
    <r>
      <rPr>
        <b/>
        <sz val="15"/>
        <color rgb="FFFF0000"/>
        <rFont val="Garamond"/>
        <family val="1"/>
      </rPr>
      <t>Por favor no vayan a la pestaña de resultados hasta que no termine el</t>
    </r>
    <r>
      <rPr>
        <b/>
        <u/>
        <sz val="15"/>
        <color rgb="FFFF0000"/>
        <rFont val="Garamond"/>
        <family val="1"/>
      </rPr>
      <t xml:space="preserve"> test completamente en la pestaña</t>
    </r>
    <r>
      <rPr>
        <b/>
        <sz val="15"/>
        <color rgb="FFFF0000"/>
        <rFont val="Garamond"/>
        <family val="1"/>
      </rPr>
      <t xml:space="preserve"> 1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</si>
</sst>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1"/>
      <color theme="0"/>
      <name val="Calibri"/>
      <family val="2"/>
      <scheme val="minor"/>
    </font>
    <font>
      <sz val="11"/>
      <color theme="0"/>
      <name val="Calibri"/>
      <family val="2"/>
      <scheme val="minor"/>
    </font>
    <font>
      <sz val="12"/>
      <color theme="1"/>
      <name val="Garamond"/>
      <family val="1"/>
    </font>
    <font>
      <b/>
      <sz val="12"/>
      <color theme="0"/>
      <name val="Garamond"/>
      <family val="1"/>
    </font>
    <font>
      <sz val="12"/>
      <color theme="0"/>
      <name val="Garamond"/>
      <family val="1"/>
    </font>
    <font>
      <b/>
      <sz val="12"/>
      <color theme="1"/>
      <name val="Garamond"/>
      <family val="1"/>
    </font>
    <font>
      <b/>
      <sz val="12"/>
      <name val="Garamond"/>
      <family val="1"/>
    </font>
    <font>
      <sz val="15"/>
      <color theme="1"/>
      <name val="Garamond"/>
      <family val="1"/>
    </font>
    <font>
      <b/>
      <sz val="15"/>
      <color theme="1"/>
      <name val="Garamond"/>
      <family val="1"/>
    </font>
    <font>
      <b/>
      <u/>
      <sz val="15"/>
      <color theme="1"/>
      <name val="Garamond"/>
      <family val="1"/>
    </font>
    <font>
      <b/>
      <sz val="15"/>
      <color rgb="FFFF0000"/>
      <name val="Garamond"/>
      <family val="1"/>
    </font>
    <font>
      <b/>
      <u/>
      <sz val="15"/>
      <color rgb="FFFF0000"/>
      <name val="Garamond"/>
      <family val="1"/>
    </font>
    <font>
      <b/>
      <u/>
      <sz val="12"/>
      <color theme="1"/>
      <name val="Garamond"/>
      <family val="1"/>
    </font>
    <font>
      <b/>
      <sz val="11"/>
      <color theme="1"/>
      <name val="Calibri"/>
      <family val="2"/>
      <scheme val="minor"/>
    </font>
    <font>
      <sz val="11"/>
      <color theme="1"/>
      <name val="Garamond"/>
      <family val="1"/>
    </font>
    <font>
      <b/>
      <sz val="11"/>
      <color theme="1"/>
      <name val="Garamond"/>
      <family val="1"/>
    </font>
    <font>
      <sz val="12"/>
      <name val="Garamond"/>
      <family val="1"/>
    </font>
    <font>
      <u/>
      <sz val="12"/>
      <name val="Garamond"/>
      <family val="1"/>
    </font>
  </fonts>
  <fills count="9">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theme="6" tint="0.59999389629810485"/>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rgb="FF00B0F0"/>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65">
    <xf numFmtId="0" fontId="0" fillId="0" borderId="0" xfId="0"/>
    <xf numFmtId="0" fontId="0" fillId="3" borderId="0" xfId="0" applyFill="1"/>
    <xf numFmtId="0" fontId="0" fillId="3" borderId="0" xfId="0" applyFill="1" applyAlignment="1">
      <alignment horizontal="center"/>
    </xf>
    <xf numFmtId="0" fontId="1" fillId="2" borderId="0" xfId="0" applyFont="1" applyFill="1"/>
    <xf numFmtId="0" fontId="2" fillId="2" borderId="0" xfId="0" applyFont="1" applyFill="1"/>
    <xf numFmtId="0" fontId="3" fillId="3" borderId="0" xfId="0" applyFont="1" applyFill="1"/>
    <xf numFmtId="0" fontId="4" fillId="2" borderId="0" xfId="0" applyFont="1" applyFill="1"/>
    <xf numFmtId="0" fontId="5" fillId="2" borderId="0" xfId="0" applyFont="1" applyFill="1"/>
    <xf numFmtId="0" fontId="4" fillId="2" borderId="0" xfId="0" applyFont="1" applyFill="1" applyAlignment="1">
      <alignment horizontal="center"/>
    </xf>
    <xf numFmtId="0" fontId="6" fillId="3" borderId="0" xfId="0" applyFont="1" applyFill="1" applyAlignment="1">
      <alignment horizontal="center"/>
    </xf>
    <xf numFmtId="0" fontId="5" fillId="3" borderId="0" xfId="0" applyFont="1" applyFill="1" applyAlignment="1">
      <alignment horizontal="center"/>
    </xf>
    <xf numFmtId="0" fontId="7" fillId="4" borderId="1" xfId="0" applyFont="1" applyFill="1" applyBorder="1" applyAlignment="1">
      <alignment vertical="center"/>
    </xf>
    <xf numFmtId="0" fontId="6" fillId="3" borderId="0" xfId="0" applyFont="1" applyFill="1"/>
    <xf numFmtId="0" fontId="7" fillId="4" borderId="1" xfId="0" applyFont="1" applyFill="1" applyBorder="1" applyAlignment="1">
      <alignment vertical="center" wrapText="1"/>
    </xf>
    <xf numFmtId="0" fontId="7" fillId="5" borderId="1" xfId="0" applyFont="1" applyFill="1" applyBorder="1" applyAlignment="1">
      <alignment vertical="center"/>
    </xf>
    <xf numFmtId="0" fontId="7" fillId="6" borderId="1" xfId="0" applyFont="1" applyFill="1" applyBorder="1" applyAlignment="1">
      <alignment vertical="center"/>
    </xf>
    <xf numFmtId="0" fontId="7" fillId="7" borderId="1" xfId="0" applyFont="1" applyFill="1" applyBorder="1" applyAlignment="1">
      <alignment vertical="center"/>
    </xf>
    <xf numFmtId="0" fontId="6" fillId="8" borderId="1" xfId="0" applyFont="1" applyFill="1" applyBorder="1" applyAlignment="1">
      <alignment horizontal="center"/>
    </xf>
    <xf numFmtId="0" fontId="6" fillId="3" borderId="0" xfId="0" applyFont="1" applyFill="1" applyAlignment="1">
      <alignment horizontal="left"/>
    </xf>
    <xf numFmtId="0" fontId="8" fillId="3" borderId="0" xfId="0" applyFont="1" applyFill="1"/>
    <xf numFmtId="0" fontId="3" fillId="3" borderId="0" xfId="0" applyFont="1" applyFill="1" applyAlignment="1">
      <alignment horizontal="left"/>
    </xf>
    <xf numFmtId="0" fontId="6" fillId="7" borderId="0" xfId="0" applyFont="1" applyFill="1" applyAlignment="1">
      <alignment horizontal="center"/>
    </xf>
    <xf numFmtId="0" fontId="3" fillId="3" borderId="0" xfId="0" applyFont="1" applyFill="1" applyAlignment="1">
      <alignment horizontal="center"/>
    </xf>
    <xf numFmtId="0" fontId="3" fillId="3" borderId="0" xfId="0" applyFont="1" applyFill="1" applyBorder="1" applyAlignment="1">
      <alignment horizontal="left" vertical="top" wrapText="1"/>
    </xf>
    <xf numFmtId="0" fontId="3" fillId="3" borderId="0" xfId="0" applyFont="1" applyFill="1" applyBorder="1"/>
    <xf numFmtId="0" fontId="3" fillId="3" borderId="0" xfId="0" applyFont="1" applyFill="1" applyBorder="1" applyAlignment="1">
      <alignment vertical="top"/>
    </xf>
    <xf numFmtId="0" fontId="3" fillId="3" borderId="0" xfId="0" applyFont="1" applyFill="1" applyBorder="1" applyAlignment="1">
      <alignment horizontal="left"/>
    </xf>
    <xf numFmtId="0" fontId="6" fillId="7" borderId="0" xfId="0" applyFont="1" applyFill="1"/>
    <xf numFmtId="0" fontId="6" fillId="7" borderId="0" xfId="0" applyFont="1" applyFill="1" applyAlignment="1">
      <alignment horizontal="left"/>
    </xf>
    <xf numFmtId="0" fontId="3" fillId="7" borderId="0" xfId="0" applyFont="1" applyFill="1"/>
    <xf numFmtId="0" fontId="3" fillId="7" borderId="0" xfId="0" applyFont="1" applyFill="1" applyAlignment="1">
      <alignment horizontal="center"/>
    </xf>
    <xf numFmtId="0" fontId="8" fillId="3" borderId="2" xfId="0" applyFont="1" applyFill="1" applyBorder="1" applyAlignment="1">
      <alignment horizontal="left" vertical="top" wrapText="1"/>
    </xf>
    <xf numFmtId="0" fontId="8" fillId="3" borderId="3" xfId="0" applyFont="1" applyFill="1" applyBorder="1" applyAlignment="1">
      <alignment horizontal="left" vertical="top" wrapText="1"/>
    </xf>
    <xf numFmtId="0" fontId="8" fillId="3" borderId="4" xfId="0" applyFont="1" applyFill="1" applyBorder="1" applyAlignment="1">
      <alignment horizontal="left" vertical="top" wrapText="1"/>
    </xf>
    <xf numFmtId="0" fontId="8" fillId="3" borderId="5" xfId="0" applyFont="1" applyFill="1" applyBorder="1" applyAlignment="1">
      <alignment horizontal="left" vertical="top" wrapText="1"/>
    </xf>
    <xf numFmtId="0" fontId="8" fillId="3" borderId="0" xfId="0" applyFont="1" applyFill="1" applyBorder="1" applyAlignment="1">
      <alignment horizontal="left" vertical="top" wrapText="1"/>
    </xf>
    <xf numFmtId="0" fontId="8" fillId="3" borderId="6" xfId="0" applyFont="1" applyFill="1" applyBorder="1" applyAlignment="1">
      <alignment horizontal="left" vertical="top" wrapText="1"/>
    </xf>
    <xf numFmtId="0" fontId="8" fillId="3" borderId="7" xfId="0" applyFont="1" applyFill="1" applyBorder="1" applyAlignment="1">
      <alignment horizontal="left" vertical="top" wrapText="1"/>
    </xf>
    <xf numFmtId="0" fontId="8" fillId="3" borderId="8" xfId="0" applyFont="1" applyFill="1" applyBorder="1" applyAlignment="1">
      <alignment horizontal="left" vertical="top" wrapText="1"/>
    </xf>
    <xf numFmtId="0" fontId="8" fillId="3" borderId="9" xfId="0" applyFont="1" applyFill="1" applyBorder="1" applyAlignment="1">
      <alignment horizontal="left" vertical="top" wrapText="1"/>
    </xf>
    <xf numFmtId="0" fontId="3" fillId="3" borderId="2" xfId="0" applyFont="1" applyFill="1" applyBorder="1" applyAlignment="1">
      <alignment horizontal="left" vertical="top" wrapText="1"/>
    </xf>
    <xf numFmtId="0" fontId="3" fillId="3" borderId="3" xfId="0" applyFont="1" applyFill="1" applyBorder="1" applyAlignment="1">
      <alignment horizontal="left" vertical="top" wrapText="1"/>
    </xf>
    <xf numFmtId="0" fontId="3" fillId="3" borderId="4" xfId="0" applyFont="1" applyFill="1" applyBorder="1" applyAlignment="1">
      <alignment horizontal="left" vertical="top" wrapText="1"/>
    </xf>
    <xf numFmtId="0" fontId="3" fillId="3" borderId="5" xfId="0" applyFont="1" applyFill="1" applyBorder="1" applyAlignment="1">
      <alignment horizontal="left" vertical="top" wrapText="1"/>
    </xf>
    <xf numFmtId="0" fontId="3" fillId="3" borderId="0" xfId="0" applyFont="1" applyFill="1" applyBorder="1" applyAlignment="1">
      <alignment horizontal="left" vertical="top" wrapText="1"/>
    </xf>
    <xf numFmtId="0" fontId="3" fillId="3" borderId="6" xfId="0" applyFont="1" applyFill="1" applyBorder="1" applyAlignment="1">
      <alignment horizontal="left" vertical="top" wrapText="1"/>
    </xf>
    <xf numFmtId="0" fontId="3" fillId="3" borderId="7" xfId="0" applyFont="1" applyFill="1" applyBorder="1" applyAlignment="1">
      <alignment horizontal="left" vertical="top" wrapText="1"/>
    </xf>
    <xf numFmtId="0" fontId="3" fillId="3" borderId="8" xfId="0" applyFont="1" applyFill="1" applyBorder="1" applyAlignment="1">
      <alignment horizontal="left" vertical="top" wrapText="1"/>
    </xf>
    <xf numFmtId="0" fontId="3" fillId="3" borderId="9" xfId="0" applyFont="1" applyFill="1" applyBorder="1" applyAlignment="1">
      <alignment horizontal="left" vertical="top" wrapText="1"/>
    </xf>
    <xf numFmtId="0" fontId="6" fillId="3" borderId="2" xfId="0" applyFont="1" applyFill="1" applyBorder="1" applyAlignment="1">
      <alignment horizontal="left" vertical="top" wrapText="1"/>
    </xf>
    <xf numFmtId="0" fontId="6" fillId="3" borderId="3" xfId="0" applyFont="1" applyFill="1" applyBorder="1" applyAlignment="1">
      <alignment horizontal="left" vertical="top" wrapText="1"/>
    </xf>
    <xf numFmtId="0" fontId="6" fillId="3" borderId="4" xfId="0" applyFont="1" applyFill="1" applyBorder="1" applyAlignment="1">
      <alignment horizontal="left" vertical="top" wrapText="1"/>
    </xf>
    <xf numFmtId="0" fontId="6" fillId="3" borderId="5" xfId="0" applyFont="1" applyFill="1" applyBorder="1" applyAlignment="1">
      <alignment horizontal="left" vertical="top" wrapText="1"/>
    </xf>
    <xf numFmtId="0" fontId="6" fillId="3" borderId="0" xfId="0" applyFont="1" applyFill="1" applyBorder="1" applyAlignment="1">
      <alignment horizontal="left" vertical="top" wrapText="1"/>
    </xf>
    <xf numFmtId="0" fontId="6" fillId="3" borderId="6" xfId="0" applyFont="1" applyFill="1" applyBorder="1" applyAlignment="1">
      <alignment horizontal="left" vertical="top" wrapText="1"/>
    </xf>
    <xf numFmtId="0" fontId="6" fillId="3" borderId="7" xfId="0" applyFont="1" applyFill="1" applyBorder="1" applyAlignment="1">
      <alignment horizontal="left" vertical="top" wrapText="1"/>
    </xf>
    <xf numFmtId="0" fontId="6" fillId="3" borderId="8" xfId="0" applyFont="1" applyFill="1" applyBorder="1" applyAlignment="1">
      <alignment horizontal="left" vertical="top" wrapText="1"/>
    </xf>
    <xf numFmtId="0" fontId="6" fillId="3" borderId="9" xfId="0" applyFont="1" applyFill="1" applyBorder="1" applyAlignment="1">
      <alignment horizontal="left" vertical="top" wrapText="1"/>
    </xf>
    <xf numFmtId="0" fontId="3" fillId="3" borderId="0" xfId="0" applyFont="1" applyFill="1" applyAlignment="1">
      <alignment horizontal="left" vertical="top" wrapText="1"/>
    </xf>
    <xf numFmtId="0" fontId="6" fillId="7" borderId="0" xfId="0" applyFont="1" applyFill="1" applyAlignment="1">
      <alignment horizontal="center" wrapText="1"/>
    </xf>
    <xf numFmtId="0" fontId="15" fillId="3" borderId="0" xfId="0" applyFont="1" applyFill="1"/>
    <xf numFmtId="0" fontId="14" fillId="0" borderId="0" xfId="0" applyFont="1"/>
    <xf numFmtId="0" fontId="14" fillId="3" borderId="0" xfId="0" applyFont="1" applyFill="1"/>
    <xf numFmtId="0" fontId="3" fillId="3" borderId="0" xfId="0" applyFont="1" applyFill="1" applyAlignment="1">
      <alignment horizontal="center" vertical="top"/>
    </xf>
    <xf numFmtId="0" fontId="17" fillId="3" borderId="2"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ACE7F-4FBA-4F62-9D53-CC1FBD41AEAC}">
  <dimension ref="A2:O17"/>
  <sheetViews>
    <sheetView zoomScale="85" zoomScaleNormal="85" workbookViewId="0">
      <selection activeCell="B12" sqref="B12"/>
    </sheetView>
  </sheetViews>
  <sheetFormatPr baseColWidth="10" defaultColWidth="11.3984375" defaultRowHeight="14.25" x14ac:dyDescent="0.45"/>
  <cols>
    <col min="1" max="1" width="1.73046875" style="2" customWidth="1"/>
    <col min="2" max="2" width="30.73046875" style="1" customWidth="1"/>
    <col min="3" max="13" width="11.3984375" style="1"/>
    <col min="14" max="14" width="13.73046875" style="1" customWidth="1"/>
    <col min="15" max="16" width="18.86328125" style="1" customWidth="1"/>
    <col min="17" max="16384" width="11.3984375" style="1"/>
  </cols>
  <sheetData>
    <row r="2" spans="2:15" x14ac:dyDescent="0.45">
      <c r="B2" s="3" t="s">
        <v>47</v>
      </c>
      <c r="C2" s="4"/>
      <c r="D2" s="4"/>
      <c r="E2" s="4"/>
      <c r="F2" s="4"/>
      <c r="G2" s="4"/>
      <c r="H2" s="4"/>
      <c r="I2" s="4"/>
      <c r="J2" s="4"/>
      <c r="K2" s="4"/>
      <c r="L2" s="4"/>
      <c r="M2" s="4"/>
      <c r="N2" s="4"/>
      <c r="O2" s="4"/>
    </row>
    <row r="3" spans="2:15" x14ac:dyDescent="0.45">
      <c r="B3" s="31" t="s">
        <v>122</v>
      </c>
      <c r="C3" s="32"/>
      <c r="D3" s="32"/>
      <c r="E3" s="32"/>
      <c r="F3" s="32"/>
      <c r="G3" s="32"/>
      <c r="H3" s="32"/>
      <c r="I3" s="32"/>
      <c r="J3" s="32"/>
      <c r="K3" s="32"/>
      <c r="L3" s="32"/>
      <c r="M3" s="32"/>
      <c r="N3" s="32"/>
      <c r="O3" s="33"/>
    </row>
    <row r="4" spans="2:15" x14ac:dyDescent="0.45">
      <c r="B4" s="34"/>
      <c r="C4" s="35"/>
      <c r="D4" s="35"/>
      <c r="E4" s="35"/>
      <c r="F4" s="35"/>
      <c r="G4" s="35"/>
      <c r="H4" s="35"/>
      <c r="I4" s="35"/>
      <c r="J4" s="35"/>
      <c r="K4" s="35"/>
      <c r="L4" s="35"/>
      <c r="M4" s="35"/>
      <c r="N4" s="35"/>
      <c r="O4" s="36"/>
    </row>
    <row r="5" spans="2:15" ht="44.25" customHeight="1" x14ac:dyDescent="0.45">
      <c r="B5" s="34"/>
      <c r="C5" s="35"/>
      <c r="D5" s="35"/>
      <c r="E5" s="35"/>
      <c r="F5" s="35"/>
      <c r="G5" s="35"/>
      <c r="H5" s="35"/>
      <c r="I5" s="35"/>
      <c r="J5" s="35"/>
      <c r="K5" s="35"/>
      <c r="L5" s="35"/>
      <c r="M5" s="35"/>
      <c r="N5" s="35"/>
      <c r="O5" s="36"/>
    </row>
    <row r="6" spans="2:15" x14ac:dyDescent="0.45">
      <c r="B6" s="34"/>
      <c r="C6" s="35"/>
      <c r="D6" s="35"/>
      <c r="E6" s="35"/>
      <c r="F6" s="35"/>
      <c r="G6" s="35"/>
      <c r="H6" s="35"/>
      <c r="I6" s="35"/>
      <c r="J6" s="35"/>
      <c r="K6" s="35"/>
      <c r="L6" s="35"/>
      <c r="M6" s="35"/>
      <c r="N6" s="35"/>
      <c r="O6" s="36"/>
    </row>
    <row r="7" spans="2:15" ht="23.25" customHeight="1" x14ac:dyDescent="0.45">
      <c r="B7" s="34"/>
      <c r="C7" s="35"/>
      <c r="D7" s="35"/>
      <c r="E7" s="35"/>
      <c r="F7" s="35"/>
      <c r="G7" s="35"/>
      <c r="H7" s="35"/>
      <c r="I7" s="35"/>
      <c r="J7" s="35"/>
      <c r="K7" s="35"/>
      <c r="L7" s="35"/>
      <c r="M7" s="35"/>
      <c r="N7" s="35"/>
      <c r="O7" s="36"/>
    </row>
    <row r="8" spans="2:15" x14ac:dyDescent="0.45">
      <c r="B8" s="34"/>
      <c r="C8" s="35"/>
      <c r="D8" s="35"/>
      <c r="E8" s="35"/>
      <c r="F8" s="35"/>
      <c r="G8" s="35"/>
      <c r="H8" s="35"/>
      <c r="I8" s="35"/>
      <c r="J8" s="35"/>
      <c r="K8" s="35"/>
      <c r="L8" s="35"/>
      <c r="M8" s="35"/>
      <c r="N8" s="35"/>
      <c r="O8" s="36"/>
    </row>
    <row r="9" spans="2:15" x14ac:dyDescent="0.45">
      <c r="B9" s="34"/>
      <c r="C9" s="35"/>
      <c r="D9" s="35"/>
      <c r="E9" s="35"/>
      <c r="F9" s="35"/>
      <c r="G9" s="35"/>
      <c r="H9" s="35"/>
      <c r="I9" s="35"/>
      <c r="J9" s="35"/>
      <c r="K9" s="35"/>
      <c r="L9" s="35"/>
      <c r="M9" s="35"/>
      <c r="N9" s="35"/>
      <c r="O9" s="36"/>
    </row>
    <row r="10" spans="2:15" ht="0.75" customHeight="1" x14ac:dyDescent="0.45">
      <c r="B10" s="34"/>
      <c r="C10" s="35"/>
      <c r="D10" s="35"/>
      <c r="E10" s="35"/>
      <c r="F10" s="35"/>
      <c r="G10" s="35"/>
      <c r="H10" s="35"/>
      <c r="I10" s="35"/>
      <c r="J10" s="35"/>
      <c r="K10" s="35"/>
      <c r="L10" s="35"/>
      <c r="M10" s="35"/>
      <c r="N10" s="35"/>
      <c r="O10" s="36"/>
    </row>
    <row r="11" spans="2:15" x14ac:dyDescent="0.45">
      <c r="B11" s="37"/>
      <c r="C11" s="38"/>
      <c r="D11" s="38"/>
      <c r="E11" s="38"/>
      <c r="F11" s="38"/>
      <c r="G11" s="38"/>
      <c r="H11" s="38"/>
      <c r="I11" s="38"/>
      <c r="J11" s="38"/>
      <c r="K11" s="38"/>
      <c r="L11" s="38"/>
      <c r="M11" s="38"/>
      <c r="N11" s="38"/>
      <c r="O11" s="39"/>
    </row>
    <row r="13" spans="2:15" x14ac:dyDescent="0.45">
      <c r="B13" s="61" t="s">
        <v>102</v>
      </c>
    </row>
    <row r="14" spans="2:15" ht="4.25" customHeight="1" x14ac:dyDescent="0.45"/>
    <row r="15" spans="2:15" x14ac:dyDescent="0.45">
      <c r="B15" s="62" t="s">
        <v>103</v>
      </c>
    </row>
    <row r="17" spans="2:2" x14ac:dyDescent="0.45">
      <c r="B17"/>
    </row>
  </sheetData>
  <mergeCells count="1">
    <mergeCell ref="B3:O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37"/>
  <sheetViews>
    <sheetView topLeftCell="A16" zoomScale="99" zoomScaleNormal="115" workbookViewId="0">
      <selection activeCell="C14" sqref="C14"/>
    </sheetView>
  </sheetViews>
  <sheetFormatPr baseColWidth="10" defaultColWidth="9.1328125" defaultRowHeight="15.4" x14ac:dyDescent="0.45"/>
  <cols>
    <col min="1" max="1" width="2.3984375" style="5" customWidth="1"/>
    <col min="2" max="2" width="5.19921875" style="5" customWidth="1"/>
    <col min="3" max="3" width="80.46484375" style="5" customWidth="1"/>
    <col min="4" max="4" width="33.265625" style="5" customWidth="1"/>
    <col min="5" max="5" width="0.6640625" style="5" customWidth="1"/>
    <col min="6" max="6" width="0.9296875" style="5" customWidth="1"/>
    <col min="7" max="7" width="28.73046875" style="5" customWidth="1"/>
    <col min="8" max="10" width="9.1328125" style="5"/>
    <col min="11" max="11" width="7.59765625" style="5" customWidth="1"/>
    <col min="12" max="16384" width="9.1328125" style="5"/>
  </cols>
  <sheetData>
    <row r="2" spans="2:11" x14ac:dyDescent="0.45">
      <c r="B2" s="6" t="s">
        <v>45</v>
      </c>
      <c r="C2" s="7"/>
      <c r="D2" s="7"/>
      <c r="G2" s="18" t="s">
        <v>46</v>
      </c>
    </row>
    <row r="3" spans="2:11" ht="19.5" x14ac:dyDescent="0.6">
      <c r="B3" s="60" t="s">
        <v>73</v>
      </c>
      <c r="G3" s="19" t="s">
        <v>38</v>
      </c>
    </row>
    <row r="4" spans="2:11" ht="19.5" x14ac:dyDescent="0.6">
      <c r="G4" s="19" t="s">
        <v>39</v>
      </c>
    </row>
    <row r="5" spans="2:11" ht="19.5" x14ac:dyDescent="0.6">
      <c r="B5" s="8" t="s">
        <v>54</v>
      </c>
      <c r="C5" s="8" t="s">
        <v>36</v>
      </c>
      <c r="D5" s="8" t="s">
        <v>37</v>
      </c>
      <c r="G5" s="19" t="s">
        <v>41</v>
      </c>
      <c r="K5" s="10" t="s">
        <v>44</v>
      </c>
    </row>
    <row r="6" spans="2:11" ht="19.5" x14ac:dyDescent="0.6">
      <c r="B6" s="9">
        <v>1</v>
      </c>
      <c r="C6" s="12" t="s">
        <v>76</v>
      </c>
      <c r="D6" s="17" t="s">
        <v>44</v>
      </c>
      <c r="G6" s="19" t="s">
        <v>40</v>
      </c>
      <c r="K6" s="10">
        <v>1</v>
      </c>
    </row>
    <row r="7" spans="2:11" ht="19.5" x14ac:dyDescent="0.6">
      <c r="B7" s="9">
        <f>+B6+1</f>
        <v>2</v>
      </c>
      <c r="C7" s="12" t="s">
        <v>75</v>
      </c>
      <c r="D7" s="17" t="s">
        <v>44</v>
      </c>
      <c r="G7" s="19" t="s">
        <v>42</v>
      </c>
      <c r="K7" s="10">
        <v>2</v>
      </c>
    </row>
    <row r="8" spans="2:11" ht="19.5" x14ac:dyDescent="0.6">
      <c r="B8" s="9">
        <f t="shared" ref="B8:B37" si="0">+B7+1</f>
        <v>3</v>
      </c>
      <c r="C8" s="12" t="s">
        <v>6</v>
      </c>
      <c r="D8" s="17" t="s">
        <v>44</v>
      </c>
      <c r="G8" s="19" t="s">
        <v>43</v>
      </c>
      <c r="K8" s="10">
        <v>3</v>
      </c>
    </row>
    <row r="9" spans="2:11" x14ac:dyDescent="0.45">
      <c r="B9" s="9">
        <f t="shared" si="0"/>
        <v>4</v>
      </c>
      <c r="C9" s="12" t="s">
        <v>74</v>
      </c>
      <c r="D9" s="17" t="s">
        <v>44</v>
      </c>
      <c r="K9" s="10">
        <v>4</v>
      </c>
    </row>
    <row r="10" spans="2:11" x14ac:dyDescent="0.45">
      <c r="B10" s="9">
        <f t="shared" si="0"/>
        <v>5</v>
      </c>
      <c r="C10" s="12" t="s">
        <v>77</v>
      </c>
      <c r="D10" s="17" t="s">
        <v>44</v>
      </c>
      <c r="K10" s="10">
        <v>5</v>
      </c>
    </row>
    <row r="11" spans="2:11" x14ac:dyDescent="0.45">
      <c r="B11" s="9">
        <f t="shared" si="0"/>
        <v>6</v>
      </c>
      <c r="C11" s="12" t="s">
        <v>78</v>
      </c>
      <c r="D11" s="17" t="s">
        <v>44</v>
      </c>
      <c r="K11" s="10">
        <v>6</v>
      </c>
    </row>
    <row r="12" spans="2:11" x14ac:dyDescent="0.45">
      <c r="B12" s="9">
        <f t="shared" si="0"/>
        <v>7</v>
      </c>
      <c r="C12" s="12" t="s">
        <v>79</v>
      </c>
      <c r="D12" s="17" t="s">
        <v>44</v>
      </c>
    </row>
    <row r="13" spans="2:11" x14ac:dyDescent="0.45">
      <c r="B13" s="9">
        <f t="shared" si="0"/>
        <v>8</v>
      </c>
      <c r="C13" s="12" t="s">
        <v>80</v>
      </c>
      <c r="D13" s="17" t="s">
        <v>44</v>
      </c>
    </row>
    <row r="14" spans="2:11" x14ac:dyDescent="0.45">
      <c r="B14" s="9">
        <f t="shared" si="0"/>
        <v>9</v>
      </c>
      <c r="C14" s="12" t="s">
        <v>81</v>
      </c>
      <c r="D14" s="17" t="s">
        <v>44</v>
      </c>
    </row>
    <row r="15" spans="2:11" x14ac:dyDescent="0.45">
      <c r="B15" s="9">
        <f t="shared" si="0"/>
        <v>10</v>
      </c>
      <c r="C15" s="12" t="s">
        <v>82</v>
      </c>
      <c r="D15" s="17" t="s">
        <v>44</v>
      </c>
    </row>
    <row r="16" spans="2:11" x14ac:dyDescent="0.45">
      <c r="B16" s="9">
        <f t="shared" si="0"/>
        <v>11</v>
      </c>
      <c r="C16" s="12" t="s">
        <v>83</v>
      </c>
      <c r="D16" s="17" t="s">
        <v>44</v>
      </c>
    </row>
    <row r="17" spans="2:4" x14ac:dyDescent="0.45">
      <c r="B17" s="9">
        <f t="shared" si="0"/>
        <v>12</v>
      </c>
      <c r="C17" s="12" t="s">
        <v>15</v>
      </c>
      <c r="D17" s="17" t="s">
        <v>44</v>
      </c>
    </row>
    <row r="18" spans="2:4" x14ac:dyDescent="0.45">
      <c r="B18" s="9">
        <f t="shared" si="0"/>
        <v>13</v>
      </c>
      <c r="C18" s="12" t="s">
        <v>16</v>
      </c>
      <c r="D18" s="17" t="s">
        <v>44</v>
      </c>
    </row>
    <row r="19" spans="2:4" x14ac:dyDescent="0.45">
      <c r="B19" s="9">
        <f t="shared" si="0"/>
        <v>14</v>
      </c>
      <c r="C19" s="12" t="s">
        <v>84</v>
      </c>
      <c r="D19" s="17" t="s">
        <v>44</v>
      </c>
    </row>
    <row r="20" spans="2:4" x14ac:dyDescent="0.45">
      <c r="B20" s="9">
        <f t="shared" si="0"/>
        <v>15</v>
      </c>
      <c r="C20" s="12" t="s">
        <v>85</v>
      </c>
      <c r="D20" s="17" t="s">
        <v>44</v>
      </c>
    </row>
    <row r="21" spans="2:4" x14ac:dyDescent="0.45">
      <c r="B21" s="9">
        <f t="shared" si="0"/>
        <v>16</v>
      </c>
      <c r="C21" s="12" t="s">
        <v>86</v>
      </c>
      <c r="D21" s="17" t="s">
        <v>44</v>
      </c>
    </row>
    <row r="22" spans="2:4" x14ac:dyDescent="0.45">
      <c r="B22" s="9">
        <f t="shared" si="0"/>
        <v>17</v>
      </c>
      <c r="C22" s="12" t="s">
        <v>20</v>
      </c>
      <c r="D22" s="17" t="s">
        <v>44</v>
      </c>
    </row>
    <row r="23" spans="2:4" x14ac:dyDescent="0.45">
      <c r="B23" s="9">
        <f t="shared" si="0"/>
        <v>18</v>
      </c>
      <c r="C23" s="12" t="s">
        <v>97</v>
      </c>
      <c r="D23" s="17" t="s">
        <v>44</v>
      </c>
    </row>
    <row r="24" spans="2:4" x14ac:dyDescent="0.45">
      <c r="B24" s="9">
        <f t="shared" si="0"/>
        <v>19</v>
      </c>
      <c r="C24" s="12" t="s">
        <v>98</v>
      </c>
      <c r="D24" s="17" t="s">
        <v>44</v>
      </c>
    </row>
    <row r="25" spans="2:4" x14ac:dyDescent="0.45">
      <c r="B25" s="9">
        <f t="shared" si="0"/>
        <v>20</v>
      </c>
      <c r="C25" s="12" t="s">
        <v>87</v>
      </c>
      <c r="D25" s="17" t="s">
        <v>44</v>
      </c>
    </row>
    <row r="26" spans="2:4" x14ac:dyDescent="0.45">
      <c r="B26" s="9">
        <f t="shared" si="0"/>
        <v>21</v>
      </c>
      <c r="C26" s="12" t="s">
        <v>88</v>
      </c>
      <c r="D26" s="17" t="s">
        <v>44</v>
      </c>
    </row>
    <row r="27" spans="2:4" x14ac:dyDescent="0.45">
      <c r="B27" s="9">
        <f t="shared" si="0"/>
        <v>22</v>
      </c>
      <c r="C27" s="12" t="s">
        <v>99</v>
      </c>
      <c r="D27" s="17" t="s">
        <v>44</v>
      </c>
    </row>
    <row r="28" spans="2:4" x14ac:dyDescent="0.45">
      <c r="B28" s="9">
        <f t="shared" si="0"/>
        <v>23</v>
      </c>
      <c r="C28" s="12" t="s">
        <v>89</v>
      </c>
      <c r="D28" s="17" t="s">
        <v>44</v>
      </c>
    </row>
    <row r="29" spans="2:4" x14ac:dyDescent="0.45">
      <c r="B29" s="9">
        <f t="shared" si="0"/>
        <v>24</v>
      </c>
      <c r="C29" s="12" t="s">
        <v>90</v>
      </c>
      <c r="D29" s="17" t="s">
        <v>44</v>
      </c>
    </row>
    <row r="30" spans="2:4" x14ac:dyDescent="0.45">
      <c r="B30" s="9">
        <f t="shared" si="0"/>
        <v>25</v>
      </c>
      <c r="C30" s="12" t="s">
        <v>91</v>
      </c>
      <c r="D30" s="17" t="s">
        <v>44</v>
      </c>
    </row>
    <row r="31" spans="2:4" x14ac:dyDescent="0.45">
      <c r="B31" s="9">
        <f t="shared" si="0"/>
        <v>26</v>
      </c>
      <c r="C31" s="12" t="s">
        <v>92</v>
      </c>
      <c r="D31" s="17" t="s">
        <v>44</v>
      </c>
    </row>
    <row r="32" spans="2:4" x14ac:dyDescent="0.45">
      <c r="B32" s="9">
        <f t="shared" si="0"/>
        <v>27</v>
      </c>
      <c r="C32" s="12" t="s">
        <v>93</v>
      </c>
      <c r="D32" s="17" t="s">
        <v>44</v>
      </c>
    </row>
    <row r="33" spans="2:4" x14ac:dyDescent="0.45">
      <c r="B33" s="9">
        <f t="shared" si="0"/>
        <v>28</v>
      </c>
      <c r="C33" s="12" t="s">
        <v>94</v>
      </c>
      <c r="D33" s="17" t="s">
        <v>44</v>
      </c>
    </row>
    <row r="34" spans="2:4" x14ac:dyDescent="0.45">
      <c r="B34" s="9">
        <f t="shared" si="0"/>
        <v>29</v>
      </c>
      <c r="C34" s="12" t="s">
        <v>100</v>
      </c>
      <c r="D34" s="17" t="s">
        <v>44</v>
      </c>
    </row>
    <row r="35" spans="2:4" x14ac:dyDescent="0.45">
      <c r="B35" s="9">
        <f t="shared" si="0"/>
        <v>30</v>
      </c>
      <c r="C35" s="12" t="s">
        <v>101</v>
      </c>
      <c r="D35" s="17" t="s">
        <v>44</v>
      </c>
    </row>
    <row r="36" spans="2:4" x14ac:dyDescent="0.45">
      <c r="B36" s="9">
        <f t="shared" si="0"/>
        <v>31</v>
      </c>
      <c r="C36" s="12" t="s">
        <v>95</v>
      </c>
      <c r="D36" s="17" t="s">
        <v>44</v>
      </c>
    </row>
    <row r="37" spans="2:4" x14ac:dyDescent="0.45">
      <c r="B37" s="9">
        <f t="shared" si="0"/>
        <v>32</v>
      </c>
      <c r="C37" s="12" t="s">
        <v>96</v>
      </c>
      <c r="D37" s="17" t="s">
        <v>44</v>
      </c>
    </row>
  </sheetData>
  <dataValidations count="1">
    <dataValidation type="list" allowBlank="1" showInputMessage="1" showErrorMessage="1" sqref="D6:D37" xr:uid="{99F9B710-17B4-41E6-81E3-43C775152132}">
      <formula1>$K$5:$K$11</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0D123-72B9-4112-9B4C-C30F6ACBA656}">
  <dimension ref="B2:S75"/>
  <sheetViews>
    <sheetView tabSelected="1" zoomScale="85" zoomScaleNormal="85" workbookViewId="0">
      <selection activeCell="C26" sqref="C26"/>
    </sheetView>
  </sheetViews>
  <sheetFormatPr baseColWidth="10" defaultColWidth="11.3984375" defaultRowHeight="15.4" x14ac:dyDescent="0.45"/>
  <cols>
    <col min="1" max="1" width="1.265625" style="5" customWidth="1"/>
    <col min="2" max="2" width="18.265625" style="5" customWidth="1"/>
    <col min="3" max="3" width="11.6640625" style="5" customWidth="1"/>
    <col min="4" max="4" width="23.265625" style="20" customWidth="1"/>
    <col min="5" max="5" width="4.3984375" style="5" customWidth="1"/>
    <col min="6" max="6" width="8.3984375" style="5" customWidth="1"/>
    <col min="7" max="7" width="34.73046875" style="5" customWidth="1"/>
    <col min="8" max="12" width="11.3984375" style="5"/>
    <col min="13" max="13" width="40.59765625" style="5" customWidth="1"/>
    <col min="14" max="16384" width="11.3984375" style="5"/>
  </cols>
  <sheetData>
    <row r="2" spans="2:13" x14ac:dyDescent="0.45">
      <c r="B2" s="27" t="s">
        <v>55</v>
      </c>
      <c r="C2" s="27"/>
      <c r="D2" s="28"/>
      <c r="E2" s="27"/>
      <c r="F2" s="27"/>
      <c r="G2" s="27"/>
      <c r="H2" s="27"/>
      <c r="I2" s="27"/>
      <c r="J2" s="27"/>
      <c r="K2" s="27"/>
      <c r="L2" s="27"/>
      <c r="M2" s="27"/>
    </row>
    <row r="3" spans="2:13" x14ac:dyDescent="0.45">
      <c r="B3" s="49" t="s">
        <v>105</v>
      </c>
      <c r="C3" s="50"/>
      <c r="D3" s="50"/>
      <c r="E3" s="50"/>
      <c r="F3" s="50"/>
      <c r="G3" s="50"/>
      <c r="H3" s="50"/>
      <c r="I3" s="50"/>
      <c r="J3" s="50"/>
      <c r="K3" s="50"/>
      <c r="L3" s="50"/>
      <c r="M3" s="51"/>
    </row>
    <row r="4" spans="2:13" x14ac:dyDescent="0.45">
      <c r="B4" s="52"/>
      <c r="C4" s="53"/>
      <c r="D4" s="53"/>
      <c r="E4" s="53"/>
      <c r="F4" s="53"/>
      <c r="G4" s="53"/>
      <c r="H4" s="53"/>
      <c r="I4" s="53"/>
      <c r="J4" s="53"/>
      <c r="K4" s="53"/>
      <c r="L4" s="53"/>
      <c r="M4" s="54"/>
    </row>
    <row r="5" spans="2:13" x14ac:dyDescent="0.45">
      <c r="B5" s="52"/>
      <c r="C5" s="53"/>
      <c r="D5" s="53"/>
      <c r="E5" s="53"/>
      <c r="F5" s="53"/>
      <c r="G5" s="53"/>
      <c r="H5" s="53"/>
      <c r="I5" s="53"/>
      <c r="J5" s="53"/>
      <c r="K5" s="53"/>
      <c r="L5" s="53"/>
      <c r="M5" s="54"/>
    </row>
    <row r="6" spans="2:13" x14ac:dyDescent="0.45">
      <c r="B6" s="52"/>
      <c r="C6" s="53"/>
      <c r="D6" s="53"/>
      <c r="E6" s="53"/>
      <c r="F6" s="53"/>
      <c r="G6" s="53"/>
      <c r="H6" s="53"/>
      <c r="I6" s="53"/>
      <c r="J6" s="53"/>
      <c r="K6" s="53"/>
      <c r="L6" s="53"/>
      <c r="M6" s="54"/>
    </row>
    <row r="7" spans="2:13" x14ac:dyDescent="0.45">
      <c r="B7" s="52"/>
      <c r="C7" s="53"/>
      <c r="D7" s="53"/>
      <c r="E7" s="53"/>
      <c r="F7" s="53"/>
      <c r="G7" s="53"/>
      <c r="H7" s="53"/>
      <c r="I7" s="53"/>
      <c r="J7" s="53"/>
      <c r="K7" s="53"/>
      <c r="L7" s="53"/>
      <c r="M7" s="54"/>
    </row>
    <row r="8" spans="2:13" x14ac:dyDescent="0.45">
      <c r="B8" s="52"/>
      <c r="C8" s="53"/>
      <c r="D8" s="53"/>
      <c r="E8" s="53"/>
      <c r="F8" s="53"/>
      <c r="G8" s="53"/>
      <c r="H8" s="53"/>
      <c r="I8" s="53"/>
      <c r="J8" s="53"/>
      <c r="K8" s="53"/>
      <c r="L8" s="53"/>
      <c r="M8" s="54"/>
    </row>
    <row r="9" spans="2:13" x14ac:dyDescent="0.45">
      <c r="B9" s="52"/>
      <c r="C9" s="53"/>
      <c r="D9" s="53"/>
      <c r="E9" s="53"/>
      <c r="F9" s="53"/>
      <c r="G9" s="53"/>
      <c r="H9" s="53"/>
      <c r="I9" s="53"/>
      <c r="J9" s="53"/>
      <c r="K9" s="53"/>
      <c r="L9" s="53"/>
      <c r="M9" s="54"/>
    </row>
    <row r="10" spans="2:13" x14ac:dyDescent="0.45">
      <c r="B10" s="52"/>
      <c r="C10" s="53"/>
      <c r="D10" s="53"/>
      <c r="E10" s="53"/>
      <c r="F10" s="53"/>
      <c r="G10" s="53"/>
      <c r="H10" s="53"/>
      <c r="I10" s="53"/>
      <c r="J10" s="53"/>
      <c r="K10" s="53"/>
      <c r="L10" s="53"/>
      <c r="M10" s="54"/>
    </row>
    <row r="11" spans="2:13" x14ac:dyDescent="0.45">
      <c r="B11" s="52"/>
      <c r="C11" s="53"/>
      <c r="D11" s="53"/>
      <c r="E11" s="53"/>
      <c r="F11" s="53"/>
      <c r="G11" s="53"/>
      <c r="H11" s="53"/>
      <c r="I11" s="53"/>
      <c r="J11" s="53"/>
      <c r="K11" s="53"/>
      <c r="L11" s="53"/>
      <c r="M11" s="54"/>
    </row>
    <row r="12" spans="2:13" x14ac:dyDescent="0.45">
      <c r="B12" s="52"/>
      <c r="C12" s="53"/>
      <c r="D12" s="53"/>
      <c r="E12" s="53"/>
      <c r="F12" s="53"/>
      <c r="G12" s="53"/>
      <c r="H12" s="53"/>
      <c r="I12" s="53"/>
      <c r="J12" s="53"/>
      <c r="K12" s="53"/>
      <c r="L12" s="53"/>
      <c r="M12" s="54"/>
    </row>
    <row r="13" spans="2:13" ht="11.25" customHeight="1" x14ac:dyDescent="0.45">
      <c r="B13" s="52"/>
      <c r="C13" s="53"/>
      <c r="D13" s="53"/>
      <c r="E13" s="53"/>
      <c r="F13" s="53"/>
      <c r="G13" s="53"/>
      <c r="H13" s="53"/>
      <c r="I13" s="53"/>
      <c r="J13" s="53"/>
      <c r="K13" s="53"/>
      <c r="L13" s="53"/>
      <c r="M13" s="54"/>
    </row>
    <row r="14" spans="2:13" ht="14.25" customHeight="1" x14ac:dyDescent="0.45">
      <c r="B14" s="55"/>
      <c r="C14" s="56"/>
      <c r="D14" s="56"/>
      <c r="E14" s="56"/>
      <c r="F14" s="56"/>
      <c r="G14" s="56"/>
      <c r="H14" s="56"/>
      <c r="I14" s="56"/>
      <c r="J14" s="56"/>
      <c r="K14" s="56"/>
      <c r="L14" s="56"/>
      <c r="M14" s="57"/>
    </row>
    <row r="16" spans="2:13" x14ac:dyDescent="0.45">
      <c r="B16" s="21" t="s">
        <v>52</v>
      </c>
      <c r="C16" s="21" t="s">
        <v>53</v>
      </c>
      <c r="D16" s="21" t="s">
        <v>56</v>
      </c>
    </row>
    <row r="17" spans="2:19" x14ac:dyDescent="0.45">
      <c r="B17" s="18" t="s">
        <v>48</v>
      </c>
      <c r="C17" s="22">
        <f>SUM('1. Test'!D6:D14)</f>
        <v>0</v>
      </c>
      <c r="D17" s="63" t="b">
        <f>IF(AND(C17&gt;=9,C17&lt;=18),"No tiene Problemas con la Evitación del Dinero",IF(AND(C17&gt;=19,C17&lt;=27),"Exhibe uno o más sintomas",IF(AND(C17&gt;=28,C17&lt;=36),"Está en riesgo de desarrollar una creencia de Evitación del Dinero",IF(AND(C17&gt;=37,C17&lt;=54),"Su estilo de respuesta es similar al de una persona que sufre Evitación del Dinero"))))</f>
        <v>0</v>
      </c>
      <c r="F17" s="58"/>
      <c r="G17" s="58"/>
      <c r="H17" s="58"/>
      <c r="I17" s="58"/>
      <c r="J17" s="58"/>
      <c r="K17" s="58"/>
      <c r="L17" s="58"/>
      <c r="M17" s="58"/>
    </row>
    <row r="18" spans="2:19" x14ac:dyDescent="0.45">
      <c r="B18" s="18" t="s">
        <v>49</v>
      </c>
      <c r="C18" s="22">
        <f>SUM('1. Test'!D15:D21)</f>
        <v>0</v>
      </c>
      <c r="D18" s="63" t="b">
        <f>IF(AND(C18&gt;=7,C18&lt;=14),"No tiene Problemas con la Adoración del Dinero",IF(AND(C18&gt;=15,C18&lt;=30),"Exhibe uno o más sintomas",IF(AND(C18&gt;=31,C18&lt;=38),"Está en riesgo de desarrollar una creencia de Adoración del Dinero",IF(AND(C18&gt;=39,C18&lt;=49),"Su estilo de respuesta es similar al de una persona que sufre de Adoración del Dinero"))))</f>
        <v>0</v>
      </c>
      <c r="F18" s="58"/>
      <c r="G18" s="58"/>
      <c r="H18" s="58"/>
      <c r="I18" s="58"/>
      <c r="J18" s="58"/>
      <c r="K18" s="58"/>
      <c r="L18" s="58"/>
      <c r="M18" s="58"/>
    </row>
    <row r="19" spans="2:19" x14ac:dyDescent="0.45">
      <c r="B19" s="18" t="s">
        <v>50</v>
      </c>
      <c r="C19" s="22">
        <f>SUM('1. Test'!D22:D29)</f>
        <v>0</v>
      </c>
      <c r="D19" s="63" t="b">
        <f>IF(AND(C19&gt;=8,C19&lt;=16),"No tiene Problemas con creencias del Status del Dinero",IF(AND(C19&gt;=17,C19&lt;=24),"Exhibe uno o más sintomas",IF(AND(C19&gt;=25,C19&lt;=32),"Está en riesgo de desarrollar una creencia de Status del Dinero",IF(AND(C19&gt;=33,C19&lt;=48),"Su estilo de respuesta es similar al de una persona que sufre de Status del Dinero"))))</f>
        <v>0</v>
      </c>
      <c r="F19" s="58"/>
      <c r="G19" s="58"/>
      <c r="H19" s="58"/>
      <c r="I19" s="58"/>
      <c r="J19" s="58"/>
      <c r="K19" s="58"/>
      <c r="L19" s="58"/>
      <c r="M19" s="58"/>
    </row>
    <row r="20" spans="2:19" x14ac:dyDescent="0.45">
      <c r="B20" s="18" t="s">
        <v>51</v>
      </c>
      <c r="C20" s="22">
        <f>SUM('1. Test'!D30:D37)</f>
        <v>0</v>
      </c>
      <c r="D20" s="63" t="b">
        <f>IF(AND(C20&gt;=8,C20&lt;=16),"No tiene Problemas con creencias con la Vigilancia del Dinero",IF(AND(C20&gt;=17,C20&lt;=24),"Exhibe uno o más sintomas",IF(AND(C20&gt;=25,C20&lt;=32),"Está en riesgo de desarrollar una creencia de Vigilancia del Dinero",IF(AND(C20&gt;=33,C20&lt;=48),"Su estilo de respuesta es similar al de una persona que sufre de Vigilancia del Dinero"))))</f>
        <v>0</v>
      </c>
    </row>
    <row r="22" spans="2:19" x14ac:dyDescent="0.45">
      <c r="B22" s="59" t="s">
        <v>104</v>
      </c>
      <c r="C22" s="59"/>
      <c r="D22" s="59"/>
      <c r="E22" s="59"/>
      <c r="F22" s="59"/>
      <c r="G22" s="59"/>
      <c r="H22" s="59"/>
      <c r="I22" s="59"/>
      <c r="J22" s="59"/>
      <c r="K22" s="59"/>
      <c r="L22" s="59"/>
      <c r="M22" s="59"/>
      <c r="N22" s="23"/>
      <c r="O22" s="23"/>
      <c r="P22" s="23"/>
      <c r="Q22" s="23"/>
      <c r="R22" s="23"/>
      <c r="S22" s="23"/>
    </row>
    <row r="23" spans="2:19" x14ac:dyDescent="0.45">
      <c r="B23" s="18" t="s">
        <v>106</v>
      </c>
      <c r="D23" s="64" t="s">
        <v>110</v>
      </c>
      <c r="E23" s="41"/>
      <c r="F23" s="41"/>
      <c r="G23" s="41"/>
      <c r="H23" s="41"/>
      <c r="I23" s="41"/>
      <c r="J23" s="41"/>
      <c r="K23" s="41"/>
      <c r="L23" s="41"/>
      <c r="M23" s="42"/>
      <c r="N23" s="23"/>
      <c r="O23" s="23"/>
      <c r="P23" s="23"/>
      <c r="Q23" s="23"/>
      <c r="R23" s="23"/>
      <c r="S23" s="23"/>
    </row>
    <row r="24" spans="2:19" x14ac:dyDescent="0.45">
      <c r="D24" s="43"/>
      <c r="E24" s="44"/>
      <c r="F24" s="44"/>
      <c r="G24" s="44"/>
      <c r="H24" s="44"/>
      <c r="I24" s="44"/>
      <c r="J24" s="44"/>
      <c r="K24" s="44"/>
      <c r="L24" s="44"/>
      <c r="M24" s="45"/>
      <c r="N24" s="23"/>
      <c r="O24" s="23"/>
      <c r="P24" s="23"/>
      <c r="Q24" s="23"/>
      <c r="R24" s="23"/>
      <c r="S24" s="23"/>
    </row>
    <row r="25" spans="2:19" x14ac:dyDescent="0.45">
      <c r="D25" s="43"/>
      <c r="E25" s="44"/>
      <c r="F25" s="44"/>
      <c r="G25" s="44"/>
      <c r="H25" s="44"/>
      <c r="I25" s="44"/>
      <c r="J25" s="44"/>
      <c r="K25" s="44"/>
      <c r="L25" s="44"/>
      <c r="M25" s="45"/>
      <c r="N25" s="23"/>
      <c r="O25" s="23"/>
      <c r="P25" s="23"/>
      <c r="Q25" s="23"/>
      <c r="R25" s="23"/>
      <c r="S25" s="23"/>
    </row>
    <row r="26" spans="2:19" x14ac:dyDescent="0.45">
      <c r="D26" s="43"/>
      <c r="E26" s="44"/>
      <c r="F26" s="44"/>
      <c r="G26" s="44"/>
      <c r="H26" s="44"/>
      <c r="I26" s="44"/>
      <c r="J26" s="44"/>
      <c r="K26" s="44"/>
      <c r="L26" s="44"/>
      <c r="M26" s="45"/>
      <c r="N26" s="23"/>
      <c r="O26" s="23"/>
      <c r="P26" s="23"/>
      <c r="Q26" s="23"/>
      <c r="R26" s="23"/>
      <c r="S26" s="23"/>
    </row>
    <row r="27" spans="2:19" x14ac:dyDescent="0.45">
      <c r="D27" s="46"/>
      <c r="E27" s="47"/>
      <c r="F27" s="47"/>
      <c r="G27" s="47"/>
      <c r="H27" s="47"/>
      <c r="I27" s="47"/>
      <c r="J27" s="47"/>
      <c r="K27" s="47"/>
      <c r="L27" s="47"/>
      <c r="M27" s="48"/>
      <c r="N27" s="23"/>
      <c r="O27" s="23"/>
      <c r="P27" s="23"/>
      <c r="Q27" s="23"/>
      <c r="R27" s="23"/>
      <c r="S27" s="23"/>
    </row>
    <row r="28" spans="2:19" ht="4.5" customHeight="1" x14ac:dyDescent="0.45">
      <c r="H28" s="23"/>
      <c r="I28" s="23"/>
      <c r="J28" s="23"/>
      <c r="K28" s="23"/>
      <c r="L28" s="23"/>
      <c r="M28" s="23"/>
      <c r="N28" s="23"/>
      <c r="O28" s="23"/>
      <c r="P28" s="23"/>
      <c r="Q28" s="23"/>
      <c r="R28" s="23"/>
      <c r="S28" s="23"/>
    </row>
    <row r="29" spans="2:19" x14ac:dyDescent="0.45">
      <c r="B29" s="18" t="s">
        <v>107</v>
      </c>
      <c r="D29" s="40" t="s">
        <v>111</v>
      </c>
      <c r="E29" s="41"/>
      <c r="F29" s="41"/>
      <c r="G29" s="41"/>
      <c r="H29" s="41"/>
      <c r="I29" s="41"/>
      <c r="J29" s="41"/>
      <c r="K29" s="41"/>
      <c r="L29" s="41"/>
      <c r="M29" s="42"/>
      <c r="N29" s="23"/>
      <c r="O29" s="23"/>
      <c r="P29" s="23"/>
      <c r="Q29" s="23"/>
      <c r="R29" s="23"/>
      <c r="S29" s="23"/>
    </row>
    <row r="30" spans="2:19" x14ac:dyDescent="0.45">
      <c r="D30" s="43"/>
      <c r="E30" s="44"/>
      <c r="F30" s="44"/>
      <c r="G30" s="44"/>
      <c r="H30" s="44"/>
      <c r="I30" s="44"/>
      <c r="J30" s="44"/>
      <c r="K30" s="44"/>
      <c r="L30" s="44"/>
      <c r="M30" s="45"/>
      <c r="N30" s="23"/>
      <c r="O30" s="23"/>
      <c r="P30" s="23"/>
      <c r="Q30" s="23"/>
      <c r="R30" s="23"/>
      <c r="S30" s="23"/>
    </row>
    <row r="31" spans="2:19" x14ac:dyDescent="0.45">
      <c r="D31" s="43"/>
      <c r="E31" s="44"/>
      <c r="F31" s="44"/>
      <c r="G31" s="44"/>
      <c r="H31" s="44"/>
      <c r="I31" s="44"/>
      <c r="J31" s="44"/>
      <c r="K31" s="44"/>
      <c r="L31" s="44"/>
      <c r="M31" s="45"/>
      <c r="N31" s="23"/>
      <c r="O31" s="23"/>
      <c r="P31" s="23"/>
      <c r="Q31" s="23"/>
      <c r="R31" s="23"/>
      <c r="S31" s="23"/>
    </row>
    <row r="32" spans="2:19" x14ac:dyDescent="0.45">
      <c r="D32" s="43"/>
      <c r="E32" s="44"/>
      <c r="F32" s="44"/>
      <c r="G32" s="44"/>
      <c r="H32" s="44"/>
      <c r="I32" s="44"/>
      <c r="J32" s="44"/>
      <c r="K32" s="44"/>
      <c r="L32" s="44"/>
      <c r="M32" s="45"/>
      <c r="N32" s="23"/>
      <c r="O32" s="23"/>
      <c r="P32" s="23"/>
      <c r="Q32" s="23"/>
      <c r="R32" s="23"/>
      <c r="S32" s="23"/>
    </row>
    <row r="33" spans="2:19" x14ac:dyDescent="0.45">
      <c r="D33" s="43"/>
      <c r="E33" s="44"/>
      <c r="F33" s="44"/>
      <c r="G33" s="44"/>
      <c r="H33" s="44"/>
      <c r="I33" s="44"/>
      <c r="J33" s="44"/>
      <c r="K33" s="44"/>
      <c r="L33" s="44"/>
      <c r="M33" s="45"/>
      <c r="N33" s="23"/>
      <c r="O33" s="23"/>
      <c r="P33" s="23"/>
      <c r="Q33" s="23"/>
      <c r="R33" s="23"/>
      <c r="S33" s="23"/>
    </row>
    <row r="34" spans="2:19" ht="19.5" customHeight="1" x14ac:dyDescent="0.45">
      <c r="D34" s="46"/>
      <c r="E34" s="47"/>
      <c r="F34" s="47"/>
      <c r="G34" s="47"/>
      <c r="H34" s="47"/>
      <c r="I34" s="47"/>
      <c r="J34" s="47"/>
      <c r="K34" s="47"/>
      <c r="L34" s="47"/>
      <c r="M34" s="48"/>
      <c r="N34" s="23"/>
      <c r="O34" s="23"/>
      <c r="P34" s="23"/>
      <c r="Q34" s="23"/>
      <c r="R34" s="23"/>
      <c r="S34" s="23"/>
    </row>
    <row r="35" spans="2:19" x14ac:dyDescent="0.45">
      <c r="H35" s="23"/>
      <c r="I35" s="23"/>
      <c r="J35" s="23"/>
      <c r="K35" s="23"/>
      <c r="L35" s="23"/>
      <c r="M35" s="23"/>
      <c r="N35" s="23"/>
      <c r="O35" s="23"/>
      <c r="P35" s="23"/>
      <c r="Q35" s="23"/>
      <c r="R35" s="23"/>
      <c r="S35" s="23"/>
    </row>
    <row r="36" spans="2:19" x14ac:dyDescent="0.45">
      <c r="B36" s="18" t="s">
        <v>108</v>
      </c>
      <c r="C36" s="22"/>
      <c r="D36" s="40" t="s">
        <v>112</v>
      </c>
      <c r="E36" s="41"/>
      <c r="F36" s="41"/>
      <c r="G36" s="41"/>
      <c r="H36" s="41"/>
      <c r="I36" s="41"/>
      <c r="J36" s="41"/>
      <c r="K36" s="41"/>
      <c r="L36" s="41"/>
      <c r="M36" s="42"/>
    </row>
    <row r="37" spans="2:19" s="24" customFormat="1" ht="12.75" customHeight="1" x14ac:dyDescent="0.45">
      <c r="D37" s="43"/>
      <c r="E37" s="44"/>
      <c r="F37" s="44"/>
      <c r="G37" s="44"/>
      <c r="H37" s="44"/>
      <c r="I37" s="44"/>
      <c r="J37" s="44"/>
      <c r="K37" s="44"/>
      <c r="L37" s="44"/>
      <c r="M37" s="45"/>
      <c r="N37" s="25"/>
      <c r="O37" s="25"/>
      <c r="P37" s="25"/>
      <c r="Q37" s="25"/>
      <c r="R37" s="25"/>
      <c r="S37" s="25"/>
    </row>
    <row r="38" spans="2:19" s="24" customFormat="1" x14ac:dyDescent="0.45">
      <c r="D38" s="43"/>
      <c r="E38" s="44"/>
      <c r="F38" s="44"/>
      <c r="G38" s="44"/>
      <c r="H38" s="44"/>
      <c r="I38" s="44"/>
      <c r="J38" s="44"/>
      <c r="K38" s="44"/>
      <c r="L38" s="44"/>
      <c r="M38" s="45"/>
      <c r="N38" s="25"/>
      <c r="O38" s="25"/>
      <c r="P38" s="25"/>
      <c r="Q38" s="25"/>
      <c r="R38" s="25"/>
      <c r="S38" s="25"/>
    </row>
    <row r="39" spans="2:19" s="24" customFormat="1" x14ac:dyDescent="0.45">
      <c r="D39" s="43"/>
      <c r="E39" s="44"/>
      <c r="F39" s="44"/>
      <c r="G39" s="44"/>
      <c r="H39" s="44"/>
      <c r="I39" s="44"/>
      <c r="J39" s="44"/>
      <c r="K39" s="44"/>
      <c r="L39" s="44"/>
      <c r="M39" s="45"/>
      <c r="N39" s="25"/>
      <c r="O39" s="25"/>
      <c r="P39" s="25"/>
      <c r="Q39" s="25"/>
      <c r="R39" s="25"/>
      <c r="S39" s="25"/>
    </row>
    <row r="40" spans="2:19" s="24" customFormat="1" x14ac:dyDescent="0.45">
      <c r="D40" s="43"/>
      <c r="E40" s="44"/>
      <c r="F40" s="44"/>
      <c r="G40" s="44"/>
      <c r="H40" s="44"/>
      <c r="I40" s="44"/>
      <c r="J40" s="44"/>
      <c r="K40" s="44"/>
      <c r="L40" s="44"/>
      <c r="M40" s="45"/>
      <c r="N40" s="25"/>
      <c r="O40" s="25"/>
      <c r="P40" s="25"/>
      <c r="Q40" s="25"/>
      <c r="R40" s="25"/>
      <c r="S40" s="25"/>
    </row>
    <row r="41" spans="2:19" s="24" customFormat="1" x14ac:dyDescent="0.45">
      <c r="D41" s="43"/>
      <c r="E41" s="44"/>
      <c r="F41" s="44"/>
      <c r="G41" s="44"/>
      <c r="H41" s="44"/>
      <c r="I41" s="44"/>
      <c r="J41" s="44"/>
      <c r="K41" s="44"/>
      <c r="L41" s="44"/>
      <c r="M41" s="45"/>
      <c r="N41" s="25"/>
      <c r="O41" s="25"/>
      <c r="P41" s="25"/>
      <c r="Q41" s="25"/>
      <c r="R41" s="25"/>
      <c r="S41" s="25"/>
    </row>
    <row r="42" spans="2:19" s="24" customFormat="1" ht="9" customHeight="1" x14ac:dyDescent="0.45">
      <c r="D42" s="46"/>
      <c r="E42" s="47"/>
      <c r="F42" s="47"/>
      <c r="G42" s="47"/>
      <c r="H42" s="47"/>
      <c r="I42" s="47"/>
      <c r="J42" s="47"/>
      <c r="K42" s="47"/>
      <c r="L42" s="47"/>
      <c r="M42" s="48"/>
      <c r="N42" s="25"/>
      <c r="O42" s="25"/>
      <c r="P42" s="25"/>
      <c r="Q42" s="25"/>
      <c r="R42" s="25"/>
      <c r="S42" s="25"/>
    </row>
    <row r="43" spans="2:19" s="24" customFormat="1" ht="8.25" customHeight="1" x14ac:dyDescent="0.45">
      <c r="D43" s="26"/>
      <c r="H43" s="25"/>
      <c r="I43" s="25"/>
      <c r="J43" s="25"/>
      <c r="K43" s="25"/>
      <c r="L43" s="25"/>
      <c r="M43" s="25"/>
      <c r="N43" s="25"/>
      <c r="O43" s="25"/>
      <c r="P43" s="25"/>
      <c r="Q43" s="25"/>
      <c r="R43" s="25"/>
      <c r="S43" s="25"/>
    </row>
    <row r="44" spans="2:19" x14ac:dyDescent="0.45">
      <c r="B44" s="18" t="s">
        <v>109</v>
      </c>
      <c r="D44" s="64" t="s">
        <v>113</v>
      </c>
      <c r="E44" s="41"/>
      <c r="F44" s="41"/>
      <c r="G44" s="41"/>
      <c r="H44" s="41"/>
      <c r="I44" s="41"/>
      <c r="J44" s="41"/>
      <c r="K44" s="41"/>
      <c r="L44" s="41"/>
      <c r="M44" s="42"/>
      <c r="N44" s="23"/>
      <c r="O44" s="23"/>
      <c r="P44" s="23"/>
      <c r="Q44" s="23"/>
      <c r="R44" s="23"/>
      <c r="S44" s="23"/>
    </row>
    <row r="45" spans="2:19" x14ac:dyDescent="0.45">
      <c r="D45" s="43"/>
      <c r="E45" s="44"/>
      <c r="F45" s="44"/>
      <c r="G45" s="44"/>
      <c r="H45" s="44"/>
      <c r="I45" s="44"/>
      <c r="J45" s="44"/>
      <c r="K45" s="44"/>
      <c r="L45" s="44"/>
      <c r="M45" s="45"/>
    </row>
    <row r="46" spans="2:19" x14ac:dyDescent="0.45">
      <c r="D46" s="43"/>
      <c r="E46" s="44"/>
      <c r="F46" s="44"/>
      <c r="G46" s="44"/>
      <c r="H46" s="44"/>
      <c r="I46" s="44"/>
      <c r="J46" s="44"/>
      <c r="K46" s="44"/>
      <c r="L46" s="44"/>
      <c r="M46" s="45"/>
    </row>
    <row r="47" spans="2:19" x14ac:dyDescent="0.45">
      <c r="D47" s="43"/>
      <c r="E47" s="44"/>
      <c r="F47" s="44"/>
      <c r="G47" s="44"/>
      <c r="H47" s="44"/>
      <c r="I47" s="44"/>
      <c r="J47" s="44"/>
      <c r="K47" s="44"/>
      <c r="L47" s="44"/>
      <c r="M47" s="45"/>
    </row>
    <row r="48" spans="2:19" x14ac:dyDescent="0.45">
      <c r="D48" s="43"/>
      <c r="E48" s="44"/>
      <c r="F48" s="44"/>
      <c r="G48" s="44"/>
      <c r="H48" s="44"/>
      <c r="I48" s="44"/>
      <c r="J48" s="44"/>
      <c r="K48" s="44"/>
      <c r="L48" s="44"/>
      <c r="M48" s="45"/>
    </row>
    <row r="49" spans="2:13" x14ac:dyDescent="0.45">
      <c r="D49" s="43"/>
      <c r="E49" s="44"/>
      <c r="F49" s="44"/>
      <c r="G49" s="44"/>
      <c r="H49" s="44"/>
      <c r="I49" s="44"/>
      <c r="J49" s="44"/>
      <c r="K49" s="44"/>
      <c r="L49" s="44"/>
      <c r="M49" s="45"/>
    </row>
    <row r="50" spans="2:13" x14ac:dyDescent="0.45">
      <c r="D50" s="43"/>
      <c r="E50" s="44"/>
      <c r="F50" s="44"/>
      <c r="G50" s="44"/>
      <c r="H50" s="44"/>
      <c r="I50" s="44"/>
      <c r="J50" s="44"/>
      <c r="K50" s="44"/>
      <c r="L50" s="44"/>
      <c r="M50" s="45"/>
    </row>
    <row r="51" spans="2:13" x14ac:dyDescent="0.45">
      <c r="D51" s="46"/>
      <c r="E51" s="47"/>
      <c r="F51" s="47"/>
      <c r="G51" s="47"/>
      <c r="H51" s="47"/>
      <c r="I51" s="47"/>
      <c r="J51" s="47"/>
      <c r="K51" s="47"/>
      <c r="L51" s="47"/>
      <c r="M51" s="48"/>
    </row>
    <row r="53" spans="2:13" x14ac:dyDescent="0.45">
      <c r="B53" s="27" t="s">
        <v>114</v>
      </c>
      <c r="C53" s="29"/>
      <c r="D53" s="30"/>
      <c r="E53" s="30"/>
      <c r="F53" s="30"/>
      <c r="G53" s="30"/>
      <c r="H53" s="30"/>
      <c r="I53" s="29"/>
      <c r="J53" s="29"/>
      <c r="K53" s="29"/>
      <c r="L53" s="29"/>
      <c r="M53" s="29"/>
    </row>
    <row r="54" spans="2:13" x14ac:dyDescent="0.45">
      <c r="B54" s="18" t="s">
        <v>115</v>
      </c>
      <c r="D54" s="20" t="s">
        <v>71</v>
      </c>
    </row>
    <row r="55" spans="2:13" x14ac:dyDescent="0.45">
      <c r="D55" s="20" t="s">
        <v>57</v>
      </c>
    </row>
    <row r="56" spans="2:13" x14ac:dyDescent="0.45">
      <c r="D56" s="20" t="s">
        <v>58</v>
      </c>
    </row>
    <row r="57" spans="2:13" x14ac:dyDescent="0.45">
      <c r="D57" s="20" t="s">
        <v>59</v>
      </c>
    </row>
    <row r="59" spans="2:13" x14ac:dyDescent="0.45">
      <c r="B59" s="18" t="s">
        <v>116</v>
      </c>
      <c r="D59" s="20" t="s">
        <v>62</v>
      </c>
    </row>
    <row r="60" spans="2:13" x14ac:dyDescent="0.45">
      <c r="B60" s="18"/>
      <c r="D60" s="20" t="s">
        <v>63</v>
      </c>
    </row>
    <row r="61" spans="2:13" x14ac:dyDescent="0.45">
      <c r="B61" s="18"/>
      <c r="D61" s="20" t="s">
        <v>64</v>
      </c>
    </row>
    <row r="62" spans="2:13" x14ac:dyDescent="0.45">
      <c r="D62" s="20" t="s">
        <v>60</v>
      </c>
    </row>
    <row r="63" spans="2:13" x14ac:dyDescent="0.45">
      <c r="D63" s="20" t="s">
        <v>61</v>
      </c>
    </row>
    <row r="64" spans="2:13" x14ac:dyDescent="0.45">
      <c r="D64" s="20" t="s">
        <v>65</v>
      </c>
    </row>
    <row r="65" spans="2:4" x14ac:dyDescent="0.45">
      <c r="D65" s="20" t="s">
        <v>67</v>
      </c>
    </row>
    <row r="67" spans="2:4" x14ac:dyDescent="0.45">
      <c r="B67" s="18" t="s">
        <v>117</v>
      </c>
      <c r="D67" s="20" t="s">
        <v>121</v>
      </c>
    </row>
    <row r="68" spans="2:4" x14ac:dyDescent="0.45">
      <c r="D68" s="20" t="s">
        <v>66</v>
      </c>
    </row>
    <row r="69" spans="2:4" x14ac:dyDescent="0.45">
      <c r="D69" s="20" t="s">
        <v>119</v>
      </c>
    </row>
    <row r="70" spans="2:4" x14ac:dyDescent="0.45">
      <c r="D70" s="20" t="s">
        <v>68</v>
      </c>
    </row>
    <row r="72" spans="2:4" x14ac:dyDescent="0.45">
      <c r="B72" s="18" t="s">
        <v>118</v>
      </c>
      <c r="D72" s="20" t="s">
        <v>72</v>
      </c>
    </row>
    <row r="73" spans="2:4" x14ac:dyDescent="0.45">
      <c r="D73" s="20" t="s">
        <v>69</v>
      </c>
    </row>
    <row r="74" spans="2:4" x14ac:dyDescent="0.45">
      <c r="D74" s="20" t="s">
        <v>70</v>
      </c>
    </row>
    <row r="75" spans="2:4" x14ac:dyDescent="0.45">
      <c r="D75" s="20" t="s">
        <v>120</v>
      </c>
    </row>
  </sheetData>
  <mergeCells count="7">
    <mergeCell ref="D36:M42"/>
    <mergeCell ref="D44:M51"/>
    <mergeCell ref="B3:M14"/>
    <mergeCell ref="F17:M19"/>
    <mergeCell ref="D23:M27"/>
    <mergeCell ref="B22:M22"/>
    <mergeCell ref="D29:M34"/>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75B76-D81F-44C7-A01C-E72A166B39D7}">
  <dimension ref="B2:C33"/>
  <sheetViews>
    <sheetView topLeftCell="A7" workbookViewId="0">
      <selection activeCell="B14" sqref="B13:B14"/>
    </sheetView>
  </sheetViews>
  <sheetFormatPr baseColWidth="10" defaultRowHeight="14.25" x14ac:dyDescent="0.45"/>
  <cols>
    <col min="2" max="2" width="39.73046875" customWidth="1"/>
  </cols>
  <sheetData>
    <row r="2" spans="2:3" ht="15.4" x14ac:dyDescent="0.45">
      <c r="B2" s="11" t="s">
        <v>0</v>
      </c>
      <c r="C2" s="12" t="s">
        <v>4</v>
      </c>
    </row>
    <row r="3" spans="2:3" ht="15.4" x14ac:dyDescent="0.45">
      <c r="B3" s="13" t="s">
        <v>0</v>
      </c>
      <c r="C3" s="12" t="s">
        <v>5</v>
      </c>
    </row>
    <row r="4" spans="2:3" ht="15.4" x14ac:dyDescent="0.45">
      <c r="B4" s="13" t="s">
        <v>0</v>
      </c>
      <c r="C4" s="12" t="s">
        <v>6</v>
      </c>
    </row>
    <row r="5" spans="2:3" ht="15.4" x14ac:dyDescent="0.45">
      <c r="B5" s="11" t="s">
        <v>0</v>
      </c>
      <c r="C5" s="12" t="s">
        <v>7</v>
      </c>
    </row>
    <row r="6" spans="2:3" ht="15.4" x14ac:dyDescent="0.45">
      <c r="B6" s="11" t="s">
        <v>0</v>
      </c>
      <c r="C6" s="12" t="s">
        <v>8</v>
      </c>
    </row>
    <row r="7" spans="2:3" ht="15.4" x14ac:dyDescent="0.45">
      <c r="B7" s="11" t="s">
        <v>0</v>
      </c>
      <c r="C7" s="12" t="s">
        <v>9</v>
      </c>
    </row>
    <row r="8" spans="2:3" ht="15.4" x14ac:dyDescent="0.45">
      <c r="B8" s="11" t="s">
        <v>0</v>
      </c>
      <c r="C8" s="12" t="s">
        <v>10</v>
      </c>
    </row>
    <row r="9" spans="2:3" ht="15.4" x14ac:dyDescent="0.45">
      <c r="B9" s="11" t="s">
        <v>0</v>
      </c>
      <c r="C9" s="12" t="s">
        <v>11</v>
      </c>
    </row>
    <row r="10" spans="2:3" ht="15.4" x14ac:dyDescent="0.45">
      <c r="B10" s="11" t="s">
        <v>0</v>
      </c>
      <c r="C10" s="12" t="s">
        <v>12</v>
      </c>
    </row>
    <row r="11" spans="2:3" ht="15.4" x14ac:dyDescent="0.45">
      <c r="B11" s="14" t="s">
        <v>1</v>
      </c>
      <c r="C11" s="12" t="s">
        <v>13</v>
      </c>
    </row>
    <row r="12" spans="2:3" ht="15.4" x14ac:dyDescent="0.45">
      <c r="B12" s="14" t="s">
        <v>1</v>
      </c>
      <c r="C12" s="12" t="s">
        <v>14</v>
      </c>
    </row>
    <row r="13" spans="2:3" ht="15.4" x14ac:dyDescent="0.45">
      <c r="B13" s="14" t="s">
        <v>1</v>
      </c>
      <c r="C13" s="12" t="s">
        <v>15</v>
      </c>
    </row>
    <row r="14" spans="2:3" ht="15.4" x14ac:dyDescent="0.45">
      <c r="B14" s="14" t="s">
        <v>1</v>
      </c>
      <c r="C14" s="12" t="s">
        <v>16</v>
      </c>
    </row>
    <row r="15" spans="2:3" ht="15.4" x14ac:dyDescent="0.45">
      <c r="B15" s="14" t="s">
        <v>1</v>
      </c>
      <c r="C15" s="12" t="s">
        <v>17</v>
      </c>
    </row>
    <row r="16" spans="2:3" ht="15.4" x14ac:dyDescent="0.45">
      <c r="B16" s="14" t="s">
        <v>1</v>
      </c>
      <c r="C16" s="12" t="s">
        <v>18</v>
      </c>
    </row>
    <row r="17" spans="2:3" ht="15.4" x14ac:dyDescent="0.45">
      <c r="B17" s="14" t="s">
        <v>1</v>
      </c>
      <c r="C17" s="12" t="s">
        <v>19</v>
      </c>
    </row>
    <row r="18" spans="2:3" ht="15.4" x14ac:dyDescent="0.45">
      <c r="B18" s="15" t="s">
        <v>2</v>
      </c>
      <c r="C18" s="12" t="s">
        <v>20</v>
      </c>
    </row>
    <row r="19" spans="2:3" ht="15.4" x14ac:dyDescent="0.45">
      <c r="B19" s="15" t="s">
        <v>2</v>
      </c>
      <c r="C19" s="12" t="s">
        <v>21</v>
      </c>
    </row>
    <row r="20" spans="2:3" ht="15.4" x14ac:dyDescent="0.45">
      <c r="B20" s="15" t="s">
        <v>2</v>
      </c>
      <c r="C20" s="12" t="s">
        <v>22</v>
      </c>
    </row>
    <row r="21" spans="2:3" ht="15.4" x14ac:dyDescent="0.45">
      <c r="B21" s="15" t="s">
        <v>2</v>
      </c>
      <c r="C21" s="12" t="s">
        <v>23</v>
      </c>
    </row>
    <row r="22" spans="2:3" ht="15.4" x14ac:dyDescent="0.45">
      <c r="B22" s="15" t="s">
        <v>2</v>
      </c>
      <c r="C22" s="12" t="s">
        <v>24</v>
      </c>
    </row>
    <row r="23" spans="2:3" ht="15.4" x14ac:dyDescent="0.45">
      <c r="B23" s="15" t="s">
        <v>2</v>
      </c>
      <c r="C23" s="12" t="s">
        <v>25</v>
      </c>
    </row>
    <row r="24" spans="2:3" ht="15.4" x14ac:dyDescent="0.45">
      <c r="B24" s="15" t="s">
        <v>2</v>
      </c>
      <c r="C24" s="12" t="s">
        <v>26</v>
      </c>
    </row>
    <row r="25" spans="2:3" ht="15.4" x14ac:dyDescent="0.45">
      <c r="B25" s="15" t="s">
        <v>2</v>
      </c>
      <c r="C25" s="12" t="s">
        <v>27</v>
      </c>
    </row>
    <row r="26" spans="2:3" ht="15.4" x14ac:dyDescent="0.45">
      <c r="B26" s="16" t="s">
        <v>3</v>
      </c>
      <c r="C26" s="12" t="s">
        <v>28</v>
      </c>
    </row>
    <row r="27" spans="2:3" ht="15.4" x14ac:dyDescent="0.45">
      <c r="B27" s="16" t="s">
        <v>3</v>
      </c>
      <c r="C27" s="12" t="s">
        <v>29</v>
      </c>
    </row>
    <row r="28" spans="2:3" ht="15.4" x14ac:dyDescent="0.45">
      <c r="B28" s="16" t="s">
        <v>3</v>
      </c>
      <c r="C28" s="12" t="s">
        <v>30</v>
      </c>
    </row>
    <row r="29" spans="2:3" ht="15.4" x14ac:dyDescent="0.45">
      <c r="B29" s="16" t="s">
        <v>3</v>
      </c>
      <c r="C29" s="12" t="s">
        <v>31</v>
      </c>
    </row>
    <row r="30" spans="2:3" ht="15.4" x14ac:dyDescent="0.45">
      <c r="B30" s="16" t="s">
        <v>3</v>
      </c>
      <c r="C30" s="12" t="s">
        <v>32</v>
      </c>
    </row>
    <row r="31" spans="2:3" ht="15.4" x14ac:dyDescent="0.45">
      <c r="B31" s="16" t="s">
        <v>3</v>
      </c>
      <c r="C31" s="12" t="s">
        <v>33</v>
      </c>
    </row>
    <row r="32" spans="2:3" ht="15.4" x14ac:dyDescent="0.45">
      <c r="B32" s="16" t="s">
        <v>3</v>
      </c>
      <c r="C32" s="12" t="s">
        <v>34</v>
      </c>
    </row>
    <row r="33" spans="2:3" ht="15.4" x14ac:dyDescent="0.45">
      <c r="B33" s="16" t="s">
        <v>3</v>
      </c>
      <c r="C33" s="12"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0. Introducción</vt:lpstr>
      <vt:lpstr>1. Test</vt:lpstr>
      <vt:lpstr>2. Resultados</vt:lpstr>
      <vt:lpstr>Referencias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Esteban Reyes Martìnez</dc:creator>
  <cp:lastModifiedBy>Juan Esteban Reyes Martìnez</cp:lastModifiedBy>
  <dcterms:created xsi:type="dcterms:W3CDTF">2015-06-05T18:19:34Z</dcterms:created>
  <dcterms:modified xsi:type="dcterms:W3CDTF">2026-09-17T09:04:06Z</dcterms:modified>
</cp:coreProperties>
</file>